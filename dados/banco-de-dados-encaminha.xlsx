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Serviços" sheetId="2" state="visible" r:id="rId2"/>
    <sheet xmlns:r="http://schemas.openxmlformats.org/officeDocument/2006/relationships" name="Políticas" sheetId="3" state="visible" r:id="rId3"/>
    <sheet xmlns:r="http://schemas.openxmlformats.org/officeDocument/2006/relationships" name="Temas" sheetId="4" state="visible" r:id="rId4"/>
    <sheet xmlns:r="http://schemas.openxmlformats.org/officeDocument/2006/relationships" name="Registros" sheetId="5" state="visible" r:id="rId5"/>
    <sheet xmlns:r="http://schemas.openxmlformats.org/officeDocument/2006/relationships" name="Resumo" sheetId="6" state="visible" r:id="rId6"/>
    <sheet xmlns:r="http://schemas.openxmlformats.org/officeDocument/2006/relationships" name="Fontes" sheetId="7" state="visible" r:id="rId7"/>
  </sheets>
  <definedNames>
    <definedName name="_xlnm._FilterDatabase" localSheetId="1" hidden="1">'Serviços'!$A$1:$P$127</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5">
    <font>
      <name val="Calibri"/>
      <family val="2"/>
      <color theme="1"/>
      <sz val="11"/>
      <scheme val="minor"/>
    </font>
    <font>
      <name val="Arial"/>
      <b val="1"/>
      <color rgb="001F5A42"/>
      <sz val="14"/>
    </font>
    <font>
      <name val="Arial"/>
      <b val="1"/>
      <sz val="10"/>
    </font>
    <font>
      <name val="Arial"/>
      <sz val="10"/>
    </font>
    <font>
      <name val="Arial"/>
      <b val="1"/>
      <color rgb="00FFFFFF"/>
      <sz val="10"/>
    </font>
  </fonts>
  <fills count="4">
    <fill>
      <patternFill/>
    </fill>
    <fill>
      <patternFill patternType="gray125"/>
    </fill>
    <fill>
      <patternFill patternType="solid">
        <fgColor rgb="00FFF4C2"/>
      </patternFill>
    </fill>
    <fill>
      <patternFill patternType="solid">
        <fgColor rgb="001F5A42"/>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center" wrapText="1"/>
    </xf>
    <xf numFmtId="0" fontId="3" fillId="0" borderId="0" applyAlignment="1" pivotButton="0" quotePrefix="0" xfId="0">
      <alignment vertical="top"/>
    </xf>
    <xf numFmtId="0" fontId="3" fillId="2" borderId="0" applyAlignment="1" pivotButton="0" quotePrefix="0" xfId="0">
      <alignment vertical="top"/>
    </xf>
    <xf numFmtId="164" fontId="3" fillId="2" borderId="0" applyAlignment="1" pivotButton="0" quotePrefix="0" xfId="0">
      <alignment vertical="top"/>
    </xf>
    <xf numFmtId="0" fontId="0" fillId="2" borderId="0" pivotButton="0" quotePrefix="0" xfId="0"/>
    <xf numFmtId="164" fontId="0" fillId="2" borderId="0" pivotButton="0" quotePrefix="0" xfId="0"/>
    <xf numFmtId="0" fontId="3" fillId="0" borderId="0" pivotButton="0" quotePrefix="0" xfId="0"/>
    <xf numFmtId="0" fontId="4" fillId="3" borderId="0" pivotButton="0" quotePrefix="0" xfId="0"/>
    <xf numFmtId="0" fontId="2" fillId="0" borderId="0" pivotButton="0" quotePrefix="0" xfId="0"/>
    <xf numFmtId="165" fontId="2" fillId="0" borderId="0" pivotButton="0" quotePrefix="0" xfId="0"/>
    <xf numFmtId="165"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Encaminha Goiânia</author>
  </authors>
  <commentList>
    <comment ref="A1" authorId="0" shapeId="0">
      <text>
        <t>Fonte: Encaminha Goiânia, index.html (commit aead8b5), 126 linhas, exportado em 08/10/2026. Exportado por Claude. Detalhes na aba Fontes.</t>
      </text>
    </comment>
  </commentList>
</comments>
</file>

<file path=xl/comments/comment2.xml><?xml version="1.0" encoding="utf-8"?>
<comments xmlns="http://schemas.openxmlformats.org/spreadsheetml/2006/main">
  <authors>
    <author>Encaminha Goiânia</author>
  </authors>
  <commentList>
    <comment ref="A1" authorId="0" shapeId="0">
      <text>
        <t>Fonte: Encaminha Goiânia, index.html (commit aead8b5), 46 linhas, exportado em 08/10/2026. Exportado por Claude. Detalhes na aba Fontes.</t>
      </text>
    </comment>
  </commentList>
</comments>
</file>

<file path=xl/comments/comment3.xml><?xml version="1.0" encoding="utf-8"?>
<comments xmlns="http://schemas.openxmlformats.org/spreadsheetml/2006/main">
  <authors>
    <author>Encaminha Goiânia</author>
  </authors>
  <commentList>
    <comment ref="A1" authorId="0" shapeId="0">
      <text>
        <t>Fonte: Encaminha Goiânia, index.html (commit aead8b5), 24 linhas, exportado em 08/10/2026. Exportado por Claude. Detalhes na aba Fontes.</t>
      </text>
    </comment>
  </commentList>
</comments>
</file>

<file path=xl/comments/comment4.xml><?xml version="1.0" encoding="utf-8"?>
<comments xmlns="http://schemas.openxmlformats.org/spreadsheetml/2006/main">
  <authors>
    <author>Encaminha Goiânia</author>
  </authors>
  <commentList>
    <comment ref="A1" authorId="0" shapeId="0">
      <text>
        <t>Preenchida pelo app (botão Registrar atendimento). Não edite à mão. Só dados anônimos; listas separadas por ponto e vírgula.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B13"/>
  <sheetViews>
    <sheetView showGridLines="1" workbookViewId="0">
      <selection activeCell="A1" sqref="A1"/>
    </sheetView>
  </sheetViews>
  <sheetFormatPr baseColWidth="8" defaultRowHeight="15"/>
  <cols>
    <col width="26" customWidth="1" min="1" max="1"/>
    <col width="100" customWidth="1" min="2" max="2"/>
  </cols>
  <sheetData>
    <row r="1">
      <c r="A1" s="1" t="inlineStr">
        <is>
          <t>Banco de dados do Encaminha Goiânia</t>
        </is>
      </c>
    </row>
    <row r="3">
      <c r="A3" s="2" t="inlineStr">
        <is>
          <t>Para que serve</t>
        </is>
      </c>
      <c r="B3" s="3" t="inlineStr">
        <is>
          <t>Guarda os dados do app fora dele: serviços e contatos da rede, textos das políticas, temas do pedido livre e os atendimentos registrados de forma anônima. A equipe gestora atualiza aqui; o app lê daqui.</t>
        </is>
      </c>
    </row>
    <row r="4">
      <c r="A4" s="2" t="inlineStr">
        <is>
          <t>Serviços</t>
        </is>
      </c>
      <c r="B4" s="3" t="inlineStr">
        <is>
          <t>Um serviço por linha. Atualize telefone, endereço, horário e observação. Ao conferir, mude a Situação e preencha Conferido em e Conferido por. A coluna Precisa conferir? avisa sozinha: Sim quando nunca foi conferido ou passou de 180 dias.</t>
        </is>
      </c>
    </row>
    <row r="5">
      <c r="A5" s="2" t="inlineStr">
        <is>
          <t>Políticas</t>
        </is>
      </c>
      <c r="B5" s="3" t="inlineStr">
        <is>
          <t>Nome, valor, passo a passo e documentos de cada política. Uma linha do passo a passo por linha da célula. Quem tem direito (o critério) fica no código do app e é testado; para mudar um critério, escreva o pedido na coluna Mudança de critério pedida.</t>
        </is>
      </c>
    </row>
    <row r="6">
      <c r="A6" s="2" t="inlineStr">
        <is>
          <t>Temas</t>
        </is>
      </c>
      <c r="B6" s="3" t="inlineStr">
        <is>
          <t>Situações que o app reconhece no pedido livre. Palavras-chave sem acento, separadas por vírgula. Uma palavra curta (até 3 letras) precisa aparecer inteira; as demais valem no começo de uma palavra.</t>
        </is>
      </c>
    </row>
    <row r="7">
      <c r="A7" s="2" t="inlineStr">
        <is>
          <t>Registros</t>
        </is>
      </c>
      <c r="B7" s="3" t="inlineStr">
        <is>
          <t>Preenchida pelo app quando o profissional toca em Registrar atendimento. Não edite à mão. Só dados anônimos: nada de nome, iniciais, texto livre, renda ou idade exatas.</t>
        </is>
      </c>
    </row>
    <row r="8">
      <c r="A8" s="2" t="inlineStr">
        <is>
          <t>Resumo</t>
        </is>
      </c>
      <c r="B8" s="3" t="inlineStr">
        <is>
          <t>Contagens por fórmula sobre a aba Registros. Atualiza sozinha quando chegam registros.</t>
        </is>
      </c>
    </row>
    <row r="9">
      <c r="A9" s="2" t="inlineStr">
        <is>
          <t>Fontes</t>
        </is>
      </c>
      <c r="B9" s="3" t="inlineStr">
        <is>
          <t>De onde veio cada tabela e quando foi exportada.</t>
        </is>
      </c>
    </row>
    <row r="10">
      <c r="A10" s="2" t="inlineStr">
        <is>
          <t>Como editar</t>
        </is>
      </c>
      <c r="B10" s="3" t="inlineStr">
        <is>
          <t>Não mude a coluna ID nem a ordem das colunas: o app usa os IDs para ligar políticas, temas e serviços. Para incluir um serviço novo, use uma linha nova no fim, com um ID novo, curto e sem espaço (ex.: caps-ad-leste).</t>
        </is>
      </c>
    </row>
    <row r="11">
      <c r="A11" s="2" t="inlineStr">
        <is>
          <t>Legenda</t>
        </is>
      </c>
      <c r="B11" s="4" t="inlineStr">
        <is>
          <t>Células em amarelo claro: colunas de conferência que a equipe preenche.</t>
        </is>
      </c>
    </row>
    <row r="12">
      <c r="A12" s="2" t="inlineStr">
        <is>
          <t>LGPD</t>
        </is>
      </c>
      <c r="B12" s="3" t="inlineStr">
        <is>
          <t>Nunca registre nome, CPF, NIS, endereço, telefone ou e-mail de pessoa atendida. Raça, religião, orientação sexual e dados de saúde de uma pessoa identificável são dados sensíveis. Os registros do app são anônimos e situações sensíveis com 1 ou 2 casos não devem ser divulgadas.</t>
        </is>
      </c>
    </row>
    <row r="13">
      <c r="A13" s="2" t="inlineStr">
        <is>
          <t>Acesso</t>
        </is>
      </c>
      <c r="B13" s="3" t="inlineStr">
        <is>
          <t>Edição só para a equipe gestora. Para profissionais que só consultam, compartilhe como Leitor.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22" customWidth="1" min="3" max="3"/>
    <col width="20" customWidth="1" min="4" max="4"/>
    <col width="16" customWidth="1" min="5" max="5"/>
    <col width="44" customWidth="1" min="6" max="6"/>
    <col width="34" customWidth="1" min="7" max="7"/>
    <col width="30" customWidth="1" min="8" max="8"/>
    <col width="24" customWidth="1" min="9" max="9"/>
    <col width="34" customWidth="1" min="10" max="10"/>
    <col width="60" customWidth="1" min="11" max="11"/>
    <col width="34" customWidth="1" min="12" max="12"/>
    <col width="13" customWidth="1" min="13" max="13"/>
    <col width="13" customWidth="1" min="14" max="14"/>
    <col width="18" customWidth="1" min="15" max="15"/>
    <col width="13" customWidth="1" min="16" max="16"/>
  </cols>
  <sheetData>
    <row r="1" ht="32" customHeight="1">
      <c r="A1" s="5" t="inlineStr">
        <is>
          <t>ID (não altere)</t>
        </is>
      </c>
      <c r="B1" s="5" t="inlineStr">
        <is>
          <t>Nome</t>
        </is>
      </c>
      <c r="C1" s="5" t="inlineStr">
        <is>
          <t>Tipo</t>
        </is>
      </c>
      <c r="D1" s="5" t="inlineStr">
        <is>
          <t>Município</t>
        </is>
      </c>
      <c r="E1" s="5" t="inlineStr">
        <is>
          <t>Região de Goiânia</t>
        </is>
      </c>
      <c r="F1" s="5" t="inlineStr">
        <is>
          <t>Endereço</t>
        </is>
      </c>
      <c r="G1" s="5" t="inlineStr">
        <is>
          <t>Telefones (separe com /)</t>
        </is>
      </c>
      <c r="H1" s="5" t="inlineStr">
        <is>
          <t>E-mail</t>
        </is>
      </c>
      <c r="I1" s="5" t="inlineStr">
        <is>
          <t>Horário</t>
        </is>
      </c>
      <c r="J1" s="5" t="inlineStr">
        <is>
          <t>Site</t>
        </is>
      </c>
      <c r="K1" s="5" t="inlineStr">
        <is>
          <t>Observação</t>
        </is>
      </c>
      <c r="L1" s="5" t="inlineStr">
        <is>
          <t>Fonte</t>
        </is>
      </c>
      <c r="M1" s="5" t="inlineStr">
        <is>
          <t>Situação</t>
        </is>
      </c>
      <c r="N1" s="5" t="inlineStr">
        <is>
          <t>Conferido em</t>
        </is>
      </c>
      <c r="O1" s="5" t="inlineStr">
        <is>
          <t>Conferido por (setor)</t>
        </is>
      </c>
      <c r="P1" s="5" t="inlineStr">
        <is>
          <t>Precisa conferir?</t>
        </is>
      </c>
    </row>
    <row r="2">
      <c r="A2" s="6" t="inlineStr">
        <is>
          <t>mxc</t>
        </is>
      </c>
      <c r="B2" s="3" t="inlineStr">
        <is>
          <t>Unidade de Integração e Referência Social Maria Xavier Caiado</t>
        </is>
      </c>
      <c r="C2" s="6" t="inlineStr">
        <is>
          <t>Estadual (Seds)</t>
        </is>
      </c>
      <c r="D2" s="6" t="inlineStr">
        <is>
          <t>Estado</t>
        </is>
      </c>
      <c r="E2" s="6" t="inlineStr"/>
      <c r="F2" s="3" t="inlineStr">
        <is>
          <t>Av. Anhanguera, 3463, Setor Leste Universitário, Goiânia, CEP 74610-010</t>
        </is>
      </c>
      <c r="G2" s="6" t="inlineStr">
        <is>
          <t>(62) 3270-9610</t>
        </is>
      </c>
      <c r="H2" s="6" t="inlineStr"/>
      <c r="I2" s="6" t="inlineStr">
        <is>
          <t>Seg a sex, 8h às 17h</t>
        </is>
      </c>
      <c r="J2" s="6" t="inlineStr"/>
      <c r="K2" s="3" t="inlineStr">
        <is>
          <t>Entrega e 2ª via dos cartões Mães de Goiás, Dignidade e Goiás + Inclusivo. CIPTEA, Passe Livre PcD e Passaporte da Pessoa Idosa.</t>
        </is>
      </c>
      <c r="L2" s="3" t="inlineStr">
        <is>
          <t>Protótipo do app (ver aba Fontes)</t>
        </is>
      </c>
      <c r="M2" s="7" t="inlineStr">
        <is>
          <t>Ativo</t>
        </is>
      </c>
      <c r="N2" s="7" t="n"/>
      <c r="O2" s="7" t="n"/>
      <c r="P2" s="6">
        <f>IF($A2="","",IF($M2="Inativo","Não",IF($N2="","Sim",IF(TODAY()-$N2&gt;180,"Sim","Não"))))</f>
        <v/>
      </c>
    </row>
    <row r="3">
      <c r="A3" s="6" t="inlineStr">
        <is>
          <t>seds</t>
        </is>
      </c>
      <c r="B3" s="3" t="inlineStr">
        <is>
          <t>Seds, Secretaria de Estado de Desenvolvimento Social</t>
        </is>
      </c>
      <c r="C3" s="6" t="inlineStr">
        <is>
          <t>Estadual (Seds)</t>
        </is>
      </c>
      <c r="D3" s="6" t="inlineStr">
        <is>
          <t>Estado</t>
        </is>
      </c>
      <c r="E3" s="6" t="inlineStr"/>
      <c r="F3" s="3" t="inlineStr">
        <is>
          <t>Praça Dr. Pedro Ludovico Teixeira, 332, Blocos A a D, Setor Central, Goiânia, CEP 74003-010</t>
        </is>
      </c>
      <c r="G3" s="6" t="inlineStr">
        <is>
          <t>(62) 3270-9603 / Ouvidoria (62) 3270-9604</t>
        </is>
      </c>
      <c r="H3" s="6" t="inlineStr">
        <is>
          <t>ouvidoria.seds@goias.gov.br</t>
        </is>
      </c>
      <c r="I3" s="6" t="inlineStr">
        <is>
          <t>Seg a sex, 8h às 18h</t>
        </is>
      </c>
      <c r="J3" s="6" t="inlineStr"/>
      <c r="K3" s="3" t="inlineStr"/>
      <c r="L3" s="3" t="inlineStr">
        <is>
          <t>Protótipo do app (ver aba Fontes)</t>
        </is>
      </c>
      <c r="M3" s="7" t="inlineStr">
        <is>
          <t>Ativo</t>
        </is>
      </c>
      <c r="N3" s="7" t="n"/>
      <c r="O3" s="7" t="n"/>
      <c r="P3" s="6">
        <f>IF($A3="","",IF($M3="Inativo","Não",IF($N3="","Sim",IF(TODAY()-$N3&gt;180,"Sim","Não"))))</f>
        <v/>
      </c>
    </row>
    <row r="4">
      <c r="A4" s="6" t="inlineStr">
        <is>
          <t>pcd</t>
        </is>
      </c>
      <c r="B4" s="3" t="inlineStr">
        <is>
          <t>Gerência da Pessoa com Deficiência (Seds)</t>
        </is>
      </c>
      <c r="C4" s="6" t="inlineStr">
        <is>
          <t>Estadual (Seds)</t>
        </is>
      </c>
      <c r="D4" s="6" t="inlineStr">
        <is>
          <t>Estado</t>
        </is>
      </c>
      <c r="E4" s="6" t="inlineStr"/>
      <c r="F4" s="3" t="inlineStr">
        <is>
          <t>Av. Anhanguera, 3463, Setor Leste Universitário, Goiânia, CEP 74610-010</t>
        </is>
      </c>
      <c r="G4" s="6" t="inlineStr">
        <is>
          <t>(62) 3270-9620 / WhatsApp (62) 98104-3652</t>
        </is>
      </c>
      <c r="H4" s="6" t="inlineStr">
        <is>
          <t>pcd@goias.gov.br</t>
        </is>
      </c>
      <c r="I4" s="6" t="inlineStr">
        <is>
          <t>Seg a sex, 7h30 às 18h</t>
        </is>
      </c>
      <c r="J4" s="6" t="inlineStr"/>
      <c r="K4" s="3" t="inlineStr"/>
      <c r="L4" s="3" t="inlineStr">
        <is>
          <t>Protótipo do app (ver aba Fontes)</t>
        </is>
      </c>
      <c r="M4" s="7" t="inlineStr">
        <is>
          <t>Ativo</t>
        </is>
      </c>
      <c r="N4" s="7" t="n"/>
      <c r="O4" s="7" t="n"/>
      <c r="P4" s="6">
        <f>IF($A4="","",IF($M4="Inativo","Não",IF($N4="","Sim",IF(TODAY()-$N4&gt;180,"Sim","Não"))))</f>
        <v/>
      </c>
    </row>
    <row r="5">
      <c r="A5" s="6" t="inlineStr">
        <is>
          <t>passaporte</t>
        </is>
      </c>
      <c r="B5" s="3" t="inlineStr">
        <is>
          <t>Passaporte da Pessoa Idosa (Seds)</t>
        </is>
      </c>
      <c r="C5" s="6" t="inlineStr">
        <is>
          <t>Estadual (Seds)</t>
        </is>
      </c>
      <c r="D5" s="6" t="inlineStr">
        <is>
          <t>Estado</t>
        </is>
      </c>
      <c r="E5" s="6" t="inlineStr"/>
      <c r="F5" s="3" t="inlineStr">
        <is>
          <t>Av. Anhanguera, 3463, Setor Leste Universitário, Goiânia, CEP 74610-010</t>
        </is>
      </c>
      <c r="G5" s="6" t="inlineStr">
        <is>
          <t>(62) 3270-9621 / (62) 98306-0327</t>
        </is>
      </c>
      <c r="H5" s="6" t="inlineStr">
        <is>
          <t>passaporte.seds@goias.gov.br</t>
        </is>
      </c>
      <c r="I5" s="6" t="inlineStr">
        <is>
          <t>Seg a sex, 7h às 17h30</t>
        </is>
      </c>
      <c r="J5" s="6" t="inlineStr"/>
      <c r="K5" s="3" t="inlineStr"/>
      <c r="L5" s="3" t="inlineStr">
        <is>
          <t>Protótipo do app (ver aba Fontes)</t>
        </is>
      </c>
      <c r="M5" s="7" t="inlineStr">
        <is>
          <t>Ativo</t>
        </is>
      </c>
      <c r="N5" s="7" t="n"/>
      <c r="O5" s="7" t="n"/>
      <c r="P5" s="6">
        <f>IF($A5="","",IF($M5="Inativo","Não",IF($N5="","Sim",IF(TODAY()-$N5&gt;180,"Sim","Não"))))</f>
        <v/>
      </c>
    </row>
    <row r="6">
      <c r="A6" s="6" t="inlineStr">
        <is>
          <t>mulherseds</t>
        </is>
      </c>
      <c r="B6" s="3" t="inlineStr">
        <is>
          <t>Superintendência da Mulher (Seds), Goiás Por Elas</t>
        </is>
      </c>
      <c r="C6" s="6" t="inlineStr">
        <is>
          <t>Estadual (Seds)</t>
        </is>
      </c>
      <c r="D6" s="6" t="inlineStr">
        <is>
          <t>Estado</t>
        </is>
      </c>
      <c r="E6" s="6" t="inlineStr"/>
      <c r="F6" s="3" t="inlineStr">
        <is>
          <t>Praça Dr. Pedro Ludovico Teixeira, 332, Bloco B, térreo, Setor Central, Goiânia</t>
        </is>
      </c>
      <c r="G6" s="6" t="inlineStr">
        <is>
          <t>WhatsApp (62) 98270-0214</t>
        </is>
      </c>
      <c r="H6" s="6" t="inlineStr">
        <is>
          <t>crei.seds@goias.gov.br</t>
        </is>
      </c>
      <c r="I6" s="6" t="inlineStr"/>
      <c r="J6" s="6" t="inlineStr"/>
      <c r="K6" s="3" t="inlineStr"/>
      <c r="L6" s="3" t="inlineStr">
        <is>
          <t>Protótipo do app (ver aba Fontes)</t>
        </is>
      </c>
      <c r="M6" s="7" t="inlineStr">
        <is>
          <t>Ativo</t>
        </is>
      </c>
      <c r="N6" s="7" t="n"/>
      <c r="O6" s="7" t="n"/>
      <c r="P6" s="6">
        <f>IF($A6="","",IF($M6="Inativo","Não",IF($N6="","Sim",IF(TODAY()-$N6&gt;180,"Sim","Não"))))</f>
        <v/>
      </c>
    </row>
    <row r="7">
      <c r="A7" s="6" t="inlineStr">
        <is>
          <t>juventude</t>
        </is>
      </c>
      <c r="B7" s="3" t="inlineStr">
        <is>
          <t>Passe Livre Estudantil (Seds)</t>
        </is>
      </c>
      <c r="C7" s="6" t="inlineStr">
        <is>
          <t>Estadual (Seds)</t>
        </is>
      </c>
      <c r="D7" s="6" t="inlineStr">
        <is>
          <t>Estado</t>
        </is>
      </c>
      <c r="E7" s="6" t="inlineStr"/>
      <c r="F7" s="3" t="inlineStr">
        <is>
          <t>Praça Dr. Pedro Ludovico Teixeira, 332, Bloco C, térreo, Setor Central, Goiânia, CEP 74083-010</t>
        </is>
      </c>
      <c r="G7" s="6" t="inlineStr">
        <is>
          <t>(62) 3270-9624 / WhatsApp (62) 98306-0294 / RedeMob 0800 648 2222</t>
        </is>
      </c>
      <c r="H7" s="6" t="inlineStr">
        <is>
          <t>passelivre@goias.gov.br</t>
        </is>
      </c>
      <c r="I7" s="6" t="inlineStr"/>
      <c r="J7" s="6" t="inlineStr">
        <is>
          <t>https://www.juventude.go.gov.br/</t>
        </is>
      </c>
      <c r="K7" s="3" t="inlineStr"/>
      <c r="L7" s="3" t="inlineStr">
        <is>
          <t>Protótipo do app (ver aba Fontes)</t>
        </is>
      </c>
      <c r="M7" s="7" t="inlineStr">
        <is>
          <t>Ativo</t>
        </is>
      </c>
      <c r="N7" s="7" t="n"/>
      <c r="O7" s="7" t="n"/>
      <c r="P7" s="6">
        <f>IF($A7="","",IF($M7="Inativo","Não",IF($N7="","Sim",IF(TODAY()-$N7&gt;180,"Sim","Não"))))</f>
        <v/>
      </c>
    </row>
    <row r="8">
      <c r="A8" s="6" t="inlineStr">
        <is>
          <t>registro</t>
        </is>
      </c>
      <c r="B8" s="3" t="inlineStr">
        <is>
          <t>Registro Civil, 2ª via gratuita (Seds)</t>
        </is>
      </c>
      <c r="C8" s="6" t="inlineStr">
        <is>
          <t>Estadual (Seds)</t>
        </is>
      </c>
      <c r="D8" s="6" t="inlineStr">
        <is>
          <t>Estado</t>
        </is>
      </c>
      <c r="E8" s="6" t="inlineStr"/>
      <c r="F8" s="3" t="inlineStr">
        <is>
          <t>Av. Anhanguera, 3463, Setor Leste Universitário, Goiânia, CEP 74610-010</t>
        </is>
      </c>
      <c r="G8" s="6" t="inlineStr">
        <is>
          <t>WhatsApp (62) 3270-9644</t>
        </is>
      </c>
      <c r="H8" s="6" t="inlineStr">
        <is>
          <t>garantiadedireitos.seds@goias.gov.br</t>
        </is>
      </c>
      <c r="I8" s="6" t="inlineStr"/>
      <c r="J8" s="6" t="inlineStr"/>
      <c r="K8" s="3" t="inlineStr"/>
      <c r="L8" s="3" t="inlineStr">
        <is>
          <t>Protótipo do app (ver aba Fontes)</t>
        </is>
      </c>
      <c r="M8" s="7" t="inlineStr">
        <is>
          <t>Ativo</t>
        </is>
      </c>
      <c r="N8" s="7" t="n"/>
      <c r="O8" s="7" t="n"/>
      <c r="P8" s="6">
        <f>IF($A8="","",IF($M8="Inativo","Não",IF($N8="","Sim",IF(TODAY()-$N8&gt;180,"Sim","Não"))))</f>
        <v/>
      </c>
    </row>
    <row r="9">
      <c r="A9" s="6" t="inlineStr">
        <is>
          <t>agehab</t>
        </is>
      </c>
      <c r="B9" s="3" t="inlineStr">
        <is>
          <t>Agehab, Agência Goiana de Habitação</t>
        </is>
      </c>
      <c r="C9" s="6" t="inlineStr">
        <is>
          <t>Estadual (Agehab)</t>
        </is>
      </c>
      <c r="D9" s="6" t="inlineStr">
        <is>
          <t>Estado</t>
        </is>
      </c>
      <c r="E9" s="6" t="inlineStr"/>
      <c r="F9" s="3" t="inlineStr">
        <is>
          <t>Rua 18-A, nº 541, Setor Aeroporto, Goiânia, CEP 74070-060</t>
        </is>
      </c>
      <c r="G9" s="6" t="inlineStr">
        <is>
          <t>(62) 3096-5005 / (62) 3096-5050</t>
        </is>
      </c>
      <c r="H9" s="6" t="inlineStr"/>
      <c r="I9" s="6" t="inlineStr">
        <is>
          <t>8h às 17h</t>
        </is>
      </c>
      <c r="J9" s="6" t="inlineStr">
        <is>
          <t>https://aluguelsocial.agehab.go.gov.br</t>
        </is>
      </c>
      <c r="K9" s="3" t="inlineStr"/>
      <c r="L9" s="3" t="inlineStr">
        <is>
          <t>Protótipo do app (ver aba Fontes)</t>
        </is>
      </c>
      <c r="M9" s="7" t="inlineStr">
        <is>
          <t>Ativo</t>
        </is>
      </c>
      <c r="N9" s="7" t="n"/>
      <c r="O9" s="7" t="n"/>
      <c r="P9" s="6">
        <f>IF($A9="","",IF($M9="Inativo","Não",IF($N9="","Sim",IF(TODAY()-$N9&gt;180,"Sim","Não"))))</f>
        <v/>
      </c>
    </row>
    <row r="10">
      <c r="A10" s="6" t="inlineStr">
        <is>
          <t>aprendiz</t>
        </is>
      </c>
      <c r="B10" s="3" t="inlineStr">
        <is>
          <t>Aprendiz do Futuro</t>
        </is>
      </c>
      <c r="C10" s="6" t="inlineStr">
        <is>
          <t>Estadual (Seds)</t>
        </is>
      </c>
      <c r="D10" s="6" t="inlineStr">
        <is>
          <t>Estado</t>
        </is>
      </c>
      <c r="E10" s="6" t="inlineStr"/>
      <c r="F10" s="3" t="inlineStr"/>
      <c r="G10" s="6" t="inlineStr">
        <is>
          <t>0800 494 1052</t>
        </is>
      </c>
      <c r="H10" s="6" t="inlineStr"/>
      <c r="I10" s="6" t="inlineStr"/>
      <c r="J10" s="6" t="inlineStr">
        <is>
          <t>https://aprendizdofuturo.org.br</t>
        </is>
      </c>
      <c r="K10" s="3" t="inlineStr"/>
      <c r="L10" s="3" t="inlineStr">
        <is>
          <t>Protótipo do app (ver aba Fontes)</t>
        </is>
      </c>
      <c r="M10" s="7" t="inlineStr">
        <is>
          <t>Ativo</t>
        </is>
      </c>
      <c r="N10" s="7" t="n"/>
      <c r="O10" s="7" t="n"/>
      <c r="P10" s="6">
        <f>IF($A10="","",IF($M10="Inativo","Não",IF($N10="","Sim",IF(TODAY()-$N10&gt;180,"Sim","Não"))))</f>
        <v/>
      </c>
    </row>
    <row r="11">
      <c r="A11" s="6" t="inlineStr">
        <is>
          <t>121</t>
        </is>
      </c>
      <c r="B11" s="3" t="inlineStr">
        <is>
          <t>Disque Social 121 (MDS)</t>
        </is>
      </c>
      <c r="C11" s="6" t="inlineStr">
        <is>
          <t>Nacional</t>
        </is>
      </c>
      <c r="D11" s="6" t="inlineStr">
        <is>
          <t>Nacional</t>
        </is>
      </c>
      <c r="E11" s="6" t="inlineStr"/>
      <c r="F11" s="3" t="inlineStr"/>
      <c r="G11" s="6" t="inlineStr">
        <is>
          <t>121</t>
        </is>
      </c>
      <c r="H11" s="6" t="inlineStr"/>
      <c r="I11" s="6" t="inlineStr"/>
      <c r="J11" s="6" t="inlineStr"/>
      <c r="K11" s="3" t="inlineStr">
        <is>
          <t>Bolsa Família, Cadastro Único e endereço do CRAS mais próximo.</t>
        </is>
      </c>
      <c r="L11" s="3" t="inlineStr">
        <is>
          <t>Protótipo do app (ver aba Fontes)</t>
        </is>
      </c>
      <c r="M11" s="7" t="inlineStr">
        <is>
          <t>Ativo</t>
        </is>
      </c>
      <c r="N11" s="7" t="n"/>
      <c r="O11" s="7" t="n"/>
      <c r="P11" s="6">
        <f>IF($A11="","",IF($M11="Inativo","Não",IF($N11="","Sim",IF(TODAY()-$N11&gt;180,"Sim","Não"))))</f>
        <v/>
      </c>
    </row>
    <row r="12">
      <c r="A12" s="6" t="inlineStr">
        <is>
          <t>135</t>
        </is>
      </c>
      <c r="B12" s="3" t="inlineStr">
        <is>
          <t>INSS, Central 135 e Meu INSS</t>
        </is>
      </c>
      <c r="C12" s="6" t="inlineStr">
        <is>
          <t>Nacional</t>
        </is>
      </c>
      <c r="D12" s="6" t="inlineStr">
        <is>
          <t>Nacional</t>
        </is>
      </c>
      <c r="E12" s="6" t="inlineStr"/>
      <c r="F12" s="3" t="inlineStr"/>
      <c r="G12" s="6" t="inlineStr">
        <is>
          <t>135</t>
        </is>
      </c>
      <c r="H12" s="6" t="inlineStr"/>
      <c r="I12" s="6" t="inlineStr"/>
      <c r="J12" s="6" t="inlineStr">
        <is>
          <t>https://meu.inss.gov.br</t>
        </is>
      </c>
      <c r="K12" s="3" t="inlineStr">
        <is>
          <t>Pedido de BPC, agendamento de perícia e avaliação social.</t>
        </is>
      </c>
      <c r="L12" s="3" t="inlineStr">
        <is>
          <t>Protótipo do app (ver aba Fontes)</t>
        </is>
      </c>
      <c r="M12" s="7" t="inlineStr">
        <is>
          <t>Ativo</t>
        </is>
      </c>
      <c r="N12" s="7" t="n"/>
      <c r="O12" s="7" t="n"/>
      <c r="P12" s="6">
        <f>IF($A12="","",IF($M12="Inativo","Não",IF($N12="","Sim",IF(TODAY()-$N12&gt;180,"Sim","Não"))))</f>
        <v/>
      </c>
    </row>
    <row r="13">
      <c r="A13" s="6" t="inlineStr">
        <is>
          <t>100</t>
        </is>
      </c>
      <c r="B13" s="3" t="inlineStr">
        <is>
          <t>Disque 100, Direitos Humanos</t>
        </is>
      </c>
      <c r="C13" s="6" t="inlineStr">
        <is>
          <t>Nacional</t>
        </is>
      </c>
      <c r="D13" s="6" t="inlineStr">
        <is>
          <t>Nacional</t>
        </is>
      </c>
      <c r="E13" s="6" t="inlineStr"/>
      <c r="F13" s="3" t="inlineStr"/>
      <c r="G13" s="6" t="inlineStr">
        <is>
          <t>100</t>
        </is>
      </c>
      <c r="H13" s="6" t="inlineStr"/>
      <c r="I13" s="6" t="inlineStr"/>
      <c r="J13" s="6" t="inlineStr"/>
      <c r="K13" s="3" t="inlineStr">
        <is>
          <t>Denúncia anônima de violência contra criança, idoso, pessoa com deficiência, população de rua e LGBTQIA+, tráfico de pessoas e trabalho escravo. 24h. Também por WhatsApp (61) 99611-0100.</t>
        </is>
      </c>
      <c r="L13" s="3" t="inlineStr">
        <is>
          <t>Protótipo do app (ver aba Fontes)</t>
        </is>
      </c>
      <c r="M13" s="7" t="inlineStr">
        <is>
          <t>Ativo</t>
        </is>
      </c>
      <c r="N13" s="7" t="n"/>
      <c r="O13" s="7" t="n"/>
      <c r="P13" s="6">
        <f>IF($A13="","",IF($M13="Inativo","Não",IF($N13="","Sim",IF(TODAY()-$N13&gt;180,"Sim","Não"))))</f>
        <v/>
      </c>
    </row>
    <row r="14">
      <c r="A14" s="6" t="inlineStr">
        <is>
          <t>180</t>
        </is>
      </c>
      <c r="B14" s="3" t="inlineStr">
        <is>
          <t>Ligue 180, Central de Atendimento à Mulher</t>
        </is>
      </c>
      <c r="C14" s="6" t="inlineStr">
        <is>
          <t>Nacional</t>
        </is>
      </c>
      <c r="D14" s="6" t="inlineStr">
        <is>
          <t>Nacional</t>
        </is>
      </c>
      <c r="E14" s="6" t="inlineStr"/>
      <c r="F14" s="3" t="inlineStr"/>
      <c r="G14" s="6" t="inlineStr">
        <is>
          <t>180</t>
        </is>
      </c>
      <c r="H14" s="6" t="inlineStr"/>
      <c r="I14" s="6" t="inlineStr"/>
      <c r="J14" s="6" t="inlineStr"/>
      <c r="K14" s="3" t="inlineStr">
        <is>
          <t>Gratuito, sigiloso, 24h.</t>
        </is>
      </c>
      <c r="L14" s="3" t="inlineStr">
        <is>
          <t>Protótipo do app (ver aba Fontes)</t>
        </is>
      </c>
      <c r="M14" s="7" t="inlineStr">
        <is>
          <t>Ativo</t>
        </is>
      </c>
      <c r="N14" s="7" t="n"/>
      <c r="O14" s="7" t="n"/>
      <c r="P14" s="6">
        <f>IF($A14="","",IF($M14="Inativo","Não",IF($N14="","Sim",IF(TODAY()-$N14&gt;180,"Sim","Não"))))</f>
        <v/>
      </c>
    </row>
    <row r="15">
      <c r="A15" s="6" t="inlineStr">
        <is>
          <t>188</t>
        </is>
      </c>
      <c r="B15" s="3" t="inlineStr">
        <is>
          <t>CVV, Centro de Valorização da Vida</t>
        </is>
      </c>
      <c r="C15" s="6" t="inlineStr">
        <is>
          <t>Nacional</t>
        </is>
      </c>
      <c r="D15" s="6" t="inlineStr">
        <is>
          <t>Nacional</t>
        </is>
      </c>
      <c r="E15" s="6" t="inlineStr"/>
      <c r="F15" s="3" t="inlineStr"/>
      <c r="G15" s="6" t="inlineStr">
        <is>
          <t>188</t>
        </is>
      </c>
      <c r="H15" s="6" t="inlineStr"/>
      <c r="I15" s="6" t="inlineStr">
        <is>
          <t>Telefone 24h, todos os dias</t>
        </is>
      </c>
      <c r="J15" s="6" t="inlineStr">
        <is>
          <t>https://cvv.org.br</t>
        </is>
      </c>
      <c r="K15" s="3" t="inlineStr">
        <is>
          <t>Apoio emocional e prevenção do suicídio. Ligação gratuita e sigilosa, de qualquer telefone. Também há chat em cvv.org.br, em horários limitados: confira no site.</t>
        </is>
      </c>
      <c r="L15" s="3" t="inlineStr">
        <is>
          <t>Protótipo do app (ver aba Fontes)</t>
        </is>
      </c>
      <c r="M15" s="7" t="inlineStr">
        <is>
          <t>Ativo</t>
        </is>
      </c>
      <c r="N15" s="7" t="n"/>
      <c r="O15" s="7" t="n"/>
      <c r="P15" s="6">
        <f>IF($A15="","",IF($M15="Inativo","Não",IF($N15="","Sim",IF(TODAY()-$N15&gt;180,"Sim","Não"))))</f>
        <v/>
      </c>
    </row>
    <row r="16">
      <c r="A16" s="6" t="inlineStr">
        <is>
          <t>ciatox</t>
        </is>
      </c>
      <c r="B16" s="3" t="inlineStr">
        <is>
          <t>CIATox Goiás, Centro de Informação e Assistência Toxicológica</t>
        </is>
      </c>
      <c r="C16" s="6" t="inlineStr">
        <is>
          <t>Saúde</t>
        </is>
      </c>
      <c r="D16" s="6" t="inlineStr">
        <is>
          <t>Estado</t>
        </is>
      </c>
      <c r="E16" s="6" t="inlineStr"/>
      <c r="F16" s="3" t="inlineStr"/>
      <c r="G16" s="6" t="inlineStr">
        <is>
          <t>0800 646 4350</t>
        </is>
      </c>
      <c r="H16" s="6" t="inlineStr"/>
      <c r="I16" s="6" t="inlineStr">
        <is>
          <t>24h, todos os dias</t>
        </is>
      </c>
      <c r="J16" s="6" t="inlineStr">
        <is>
          <t>https://goias.gov.br/saude/ciatox/</t>
        </is>
      </c>
      <c r="K16" s="3" t="inlineStr">
        <is>
          <t>Orienta profissionais e população em intoxicação por remédio, veneno, agrotóxico, produto de limpeza ou animal peçonhento. Fonte: SES/GO, consultado em 08/10/2026.</t>
        </is>
      </c>
      <c r="L16" s="3" t="inlineStr">
        <is>
          <t>SES/GO, consultado em 08/10/2026</t>
        </is>
      </c>
      <c r="M16" s="7" t="inlineStr">
        <is>
          <t>Ativo</t>
        </is>
      </c>
      <c r="N16" s="8" t="n">
        <v>46303</v>
      </c>
      <c r="O16" s="7" t="inlineStr">
        <is>
          <t>Levantamento de 08/10/2026</t>
        </is>
      </c>
      <c r="P16" s="6">
        <f>IF($A16="","",IF($M16="Inativo","Não",IF($N16="","Sim",IF(TODAY()-$N16&gt;180,"Sim","Não"))))</f>
        <v/>
      </c>
    </row>
    <row r="17">
      <c r="A17" s="6" t="inlineStr">
        <is>
          <t>crer</t>
        </is>
      </c>
      <c r="B17" s="3" t="inlineStr">
        <is>
          <t>CRER, Centro Estadual de Reabilitação e Readaptação Dr. Henrique Santillo</t>
        </is>
      </c>
      <c r="C17" s="6" t="inlineStr">
        <is>
          <t>Saúde</t>
        </is>
      </c>
      <c r="D17" s="6" t="inlineStr">
        <is>
          <t>Estado</t>
        </is>
      </c>
      <c r="E17" s="6" t="inlineStr"/>
      <c r="F17" s="3" t="inlineStr">
        <is>
          <t>Av. Vereador José Monteiro, 1655, Setor Negrão de Lima, Goiânia, CEP 74653-230</t>
        </is>
      </c>
      <c r="G17" s="6" t="inlineStr">
        <is>
          <t>Recepção (62) 3232-3232 / (62) 3232-3000</t>
        </is>
      </c>
      <c r="H17" s="6" t="inlineStr"/>
      <c r="I17" s="6" t="inlineStr"/>
      <c r="J17" s="6" t="inlineStr">
        <is>
          <t>https://goias.gov.br/saude/crer/</t>
        </is>
      </c>
      <c r="K17" s="3" t="inlineStr">
        <is>
          <t>Reabilitação pelo SUS. A primeira consulta é agendada pela regulação, com encaminhamento da UBS; não há procura direta. Fonte: SES/GO, consultado em 08/10/2026.</t>
        </is>
      </c>
      <c r="L17" s="3" t="inlineStr">
        <is>
          <t>SES/GO, consultado em 08/10/2026</t>
        </is>
      </c>
      <c r="M17" s="7" t="inlineStr">
        <is>
          <t>Ativo</t>
        </is>
      </c>
      <c r="N17" s="8" t="n">
        <v>46303</v>
      </c>
      <c r="O17" s="7" t="inlineStr">
        <is>
          <t>Levantamento de 08/10/2026</t>
        </is>
      </c>
      <c r="P17" s="6">
        <f>IF($A17="","",IF($M17="Inativo","Não",IF($N17="","Sim",IF(TODAY()-$N17&gt;180,"Sim","Não"))))</f>
        <v/>
      </c>
    </row>
    <row r="18">
      <c r="A18" s="6" t="inlineStr">
        <is>
          <t>credeq</t>
        </is>
      </c>
      <c r="B18" s="3" t="inlineStr">
        <is>
          <t>Credeq Prof. Jamil Issy, referência estadual em dependência química</t>
        </is>
      </c>
      <c r="C18" s="6" t="inlineStr">
        <is>
          <t>Saúde</t>
        </is>
      </c>
      <c r="D18" s="6" t="inlineStr">
        <is>
          <t>Aparecida de Goiânia</t>
        </is>
      </c>
      <c r="E18" s="6" t="inlineStr"/>
      <c r="F18" s="3" t="inlineStr"/>
      <c r="G18" s="6" t="inlineStr"/>
      <c r="H18" s="6" t="inlineStr"/>
      <c r="I18" s="6" t="inlineStr"/>
      <c r="J18" s="6" t="inlineStr"/>
      <c r="K18" s="3" t="inlineStr">
        <is>
          <t>Casos graves de álcool e drogas, com internação voluntária de até 90 dias. A vaga vem pela regulação, com encaminhamento do CAPS AD. Fonte: Governo de Goiás e imprensa; endereço e telefone ainda não conferidos.</t>
        </is>
      </c>
      <c r="L18" s="3" t="inlineStr">
        <is>
          <t>Governo de Goiás e imprensa; endereço e telefone ainda não conferidos</t>
        </is>
      </c>
      <c r="M18" s="7" t="inlineStr">
        <is>
          <t>A conferir</t>
        </is>
      </c>
      <c r="N18" s="7" t="n"/>
      <c r="O18" s="7" t="n"/>
      <c r="P18" s="6">
        <f>IF($A18="","",IF($M18="Inativo","Não",IF($N18="","Sim",IF(TODAY()-$N18&gt;180,"Sim","Não"))))</f>
        <v/>
      </c>
    </row>
    <row r="19">
      <c r="A19" s="6" t="inlineStr">
        <is>
          <t>autoexclusao</t>
        </is>
      </c>
      <c r="B19" s="3" t="inlineStr">
        <is>
          <t>Autoexclusão de apostas (Ministério da Fazenda)</t>
        </is>
      </c>
      <c r="C19" s="6" t="inlineStr">
        <is>
          <t>Nacional</t>
        </is>
      </c>
      <c r="D19" s="6" t="inlineStr">
        <is>
          <t>Nacional</t>
        </is>
      </c>
      <c r="E19" s="6" t="inlineStr"/>
      <c r="F19" s="3" t="inlineStr"/>
      <c r="G19" s="6" t="inlineStr"/>
      <c r="H19" s="6" t="inlineStr"/>
      <c r="I19" s="6" t="inlineStr"/>
      <c r="J19" s="6" t="inlineStr">
        <is>
          <t>https://www.gov.br/pt-br/servicos/plataforma-centralizada-de-autoexclusao-apostas</t>
        </is>
      </c>
      <c r="K19" s="3" t="inlineStr">
        <is>
          <t>Bloqueia o CPF em todas as bets autorizadas, de 1 a 12 meses ou por tempo indeterminado, e corta a publicidade. Exige conta gov.br prata ou ouro. Fonte: gov.br, consultado em 08/10/2026.</t>
        </is>
      </c>
      <c r="L19" s="3" t="inlineStr">
        <is>
          <t>gov.br, consultado em 08/10/2026</t>
        </is>
      </c>
      <c r="M19" s="7" t="inlineStr">
        <is>
          <t>Ativo</t>
        </is>
      </c>
      <c r="N19" s="8" t="n">
        <v>46303</v>
      </c>
      <c r="O19" s="7" t="inlineStr">
        <is>
          <t>Levantamento de 08/10/2026</t>
        </is>
      </c>
      <c r="P19" s="6">
        <f>IF($A19="","",IF($M19="Inativo","Não",IF($N19="","Sim",IF(TODAY()-$N19&gt;180,"Sim","Não"))))</f>
        <v/>
      </c>
    </row>
    <row r="20">
      <c r="A20" s="6" t="inlineStr">
        <is>
          <t>sine</t>
        </is>
      </c>
      <c r="B20" s="3" t="inlineStr">
        <is>
          <t>Sine Goiânia</t>
        </is>
      </c>
      <c r="C20" s="6" t="inlineStr">
        <is>
          <t>Trabalho</t>
        </is>
      </c>
      <c r="D20" s="6" t="inlineStr">
        <is>
          <t>Goiânia</t>
        </is>
      </c>
      <c r="E20" s="6" t="inlineStr"/>
      <c r="F20" s="3" t="inlineStr">
        <is>
          <t>Rua 1, nº 147, Setor Central, Goiânia</t>
        </is>
      </c>
      <c r="G20" s="6" t="inlineStr"/>
      <c r="H20" s="6" t="inlineStr"/>
      <c r="I20" s="6" t="inlineStr"/>
      <c r="J20" s="6" t="inlineStr"/>
      <c r="K20" s="3" t="inlineStr">
        <is>
          <t>Vagas, seguro-desemprego e orientação profissional. Agendamento pelo app Prefeitura 24h. Levar RG, CPF, carteira de trabalho e comprovante de endereço. Endereço de reportagem recente: confirme antes de ir.</t>
        </is>
      </c>
      <c r="L20" s="3" t="inlineStr">
        <is>
          <t>Protótipo do app (ver aba Fontes)</t>
        </is>
      </c>
      <c r="M20" s="7" t="inlineStr">
        <is>
          <t>A conferir</t>
        </is>
      </c>
      <c r="N20" s="7" t="n"/>
      <c r="O20" s="7" t="n"/>
      <c r="P20" s="6">
        <f>IF($A20="","",IF($M20="Inativo","Não",IF($N20="","Sim",IF(TODAY()-$N20&gt;180,"Sim","Não"))))</f>
        <v/>
      </c>
    </row>
    <row r="21">
      <c r="A21" s="6" t="inlineStr">
        <is>
          <t>procon</t>
        </is>
      </c>
      <c r="B21" s="3" t="inlineStr">
        <is>
          <t>Procon Goiás</t>
        </is>
      </c>
      <c r="C21" s="6" t="inlineStr">
        <is>
          <t>Justiça e direitos</t>
        </is>
      </c>
      <c r="D21" s="6" t="inlineStr">
        <is>
          <t>Estado</t>
        </is>
      </c>
      <c r="E21" s="6" t="inlineStr"/>
      <c r="F21" s="3" t="inlineStr">
        <is>
          <t>Rua 8, nº 242, Setor Central, Goiânia</t>
        </is>
      </c>
      <c r="G21" s="6" t="inlineStr">
        <is>
          <t>Goiânia 151 / Interior (62) 3201-7124 / Superendividados (62) 3201-2891</t>
        </is>
      </c>
      <c r="H21" s="6" t="inlineStr"/>
      <c r="I21" s="6" t="inlineStr">
        <is>
          <t>Seg a sex, 8h às 17h</t>
        </is>
      </c>
      <c r="J21" s="6" t="inlineStr">
        <is>
          <t>https://www.procon.go.gov.br</t>
        </is>
      </c>
      <c r="K21" s="3" t="inlineStr">
        <is>
          <t>Reclamação de consumo, juros abusivos e renegociação de dívidas (Núcleo de Apoio aos Superendividados). Fonte: Procon Goiás, 2022: confirme os telefones.</t>
        </is>
      </c>
      <c r="L21" s="3" t="inlineStr">
        <is>
          <t>Procon Goiás, 2022: confirme os telefones</t>
        </is>
      </c>
      <c r="M21" s="7" t="inlineStr">
        <is>
          <t>A conferir</t>
        </is>
      </c>
      <c r="N21" s="7" t="n"/>
      <c r="O21" s="7" t="n"/>
      <c r="P21" s="6">
        <f>IF($A21="","",IF($M21="Inativo","Não",IF($N21="","Sim",IF(TODAY()-$N21&gt;180,"Sim","Não"))))</f>
        <v/>
      </c>
    </row>
    <row r="22">
      <c r="A22" s="6" t="inlineStr">
        <is>
          <t>pc197</t>
        </is>
      </c>
      <c r="B22" s="3" t="inlineStr">
        <is>
          <t>Disque Polícia Civil 197</t>
        </is>
      </c>
      <c r="C22" s="6" t="inlineStr">
        <is>
          <t>Justiça e direitos</t>
        </is>
      </c>
      <c r="D22" s="6" t="inlineStr">
        <is>
          <t>Estado</t>
        </is>
      </c>
      <c r="E22" s="6" t="inlineStr"/>
      <c r="F22" s="3" t="inlineStr"/>
      <c r="G22" s="6" t="inlineStr">
        <is>
          <t>197</t>
        </is>
      </c>
      <c r="H22" s="6" t="inlineStr"/>
      <c r="I22" s="6" t="inlineStr">
        <is>
          <t>24h</t>
        </is>
      </c>
      <c r="J22" s="6" t="inlineStr"/>
      <c r="K22" s="3" t="inlineStr">
        <is>
          <t>Orientação e denúncia à Polícia Civil de Goiás.</t>
        </is>
      </c>
      <c r="L22" s="3" t="inlineStr">
        <is>
          <t>Protótipo do app (ver aba Fontes)</t>
        </is>
      </c>
      <c r="M22" s="7" t="inlineStr">
        <is>
          <t>Ativo</t>
        </is>
      </c>
      <c r="N22" s="7" t="n"/>
      <c r="O22" s="7" t="n"/>
      <c r="P22" s="6">
        <f>IF($A22="","",IF($M22="Inativo","Não",IF($N22="","Sim",IF(TODAY()-$N22&gt;180,"Sim","Não"))))</f>
        <v/>
      </c>
    </row>
    <row r="23">
      <c r="A23" s="6" t="inlineStr">
        <is>
          <t>dpca</t>
        </is>
      </c>
      <c r="B23" s="3" t="inlineStr">
        <is>
          <t>DPCA, Delegacia de Proteção à Criança e ao Adolescente</t>
        </is>
      </c>
      <c r="C23" s="6" t="inlineStr">
        <is>
          <t>Justiça e direitos</t>
        </is>
      </c>
      <c r="D23" s="6" t="inlineStr">
        <is>
          <t>Goiânia</t>
        </is>
      </c>
      <c r="E23" s="6" t="inlineStr"/>
      <c r="F23" s="3" t="inlineStr">
        <is>
          <t>Rua C-190 esq. c/ C-107, Qd. 226, Lt. 13, Jardim América, Goiânia, CEP 74255-080</t>
        </is>
      </c>
      <c r="G23" s="6" t="inlineStr">
        <is>
          <t>(62) 3286-1540 / (62) 3286-1298 / (62) 3286-1552</t>
        </is>
      </c>
      <c r="H23" s="6" t="inlineStr">
        <is>
          <t>dpca.goiania.pcgo@pc.goias.gov.br</t>
        </is>
      </c>
      <c r="I23" s="6" t="inlineStr">
        <is>
          <t>Seg a sex, 8h às 12h e 14h às 18h</t>
        </is>
      </c>
      <c r="J23" s="6" t="inlineStr"/>
      <c r="K23" s="3" t="inlineStr">
        <is>
          <t>Crimes contra crianças e adolescentes, inclusive violência sexual. Fonte: Polícia Civil de Goiás, consultado em 08/10/2026.</t>
        </is>
      </c>
      <c r="L23" s="3" t="inlineStr">
        <is>
          <t>Polícia Civil de Goiás, consultado em 08/10/2026</t>
        </is>
      </c>
      <c r="M23" s="7" t="inlineStr">
        <is>
          <t>Ativo</t>
        </is>
      </c>
      <c r="N23" s="8" t="n">
        <v>46303</v>
      </c>
      <c r="O23" s="7" t="inlineStr">
        <is>
          <t>Levantamento de 08/10/2026</t>
        </is>
      </c>
      <c r="P23" s="6">
        <f>IF($A23="","",IF($M23="Inativo","Não",IF($N23="","Sim",IF(TODAY()-$N23&gt;180,"Sim","Não"))))</f>
        <v/>
      </c>
    </row>
    <row r="24">
      <c r="A24" s="6" t="inlineStr">
        <is>
          <t>deacri</t>
        </is>
      </c>
      <c r="B24" s="3" t="inlineStr">
        <is>
          <t>Deacri, Delegacia de Crimes Raciais e de Intolerância</t>
        </is>
      </c>
      <c r="C24" s="6" t="inlineStr">
        <is>
          <t>Justiça e direitos</t>
        </is>
      </c>
      <c r="D24" s="6" t="inlineStr">
        <is>
          <t>Goiânia</t>
        </is>
      </c>
      <c r="E24" s="6" t="inlineStr"/>
      <c r="F24" s="3" t="inlineStr">
        <is>
          <t>Av. 2ª Radial, Qd. 48, Lt. 28, Setor Pedro Ludovico, Goiânia, CEP 74820-090</t>
        </is>
      </c>
      <c r="G24" s="6" t="inlineStr">
        <is>
          <t>(62) 98495-2047</t>
        </is>
      </c>
      <c r="H24" s="6" t="inlineStr">
        <is>
          <t>deacri.pcgo@pc.goias.gov.br</t>
        </is>
      </c>
      <c r="I24" s="6" t="inlineStr">
        <is>
          <t>Seg a sex, 8h às 18h</t>
        </is>
      </c>
      <c r="J24" s="6" t="inlineStr"/>
      <c r="K24" s="3" t="inlineStr">
        <is>
          <t>Racismo, injúria racial, xenofobia, intolerância religiosa e LGBTfobia, inclusive ataques a terreiros. Também é possível registrar em qualquer delegacia ou pelo 197. Fonte: Polícia Civil de Goiás, consultado em 08/10/2026.</t>
        </is>
      </c>
      <c r="L24" s="3" t="inlineStr">
        <is>
          <t>Polícia Civil de Goiás, consultado em 08/10/2026</t>
        </is>
      </c>
      <c r="M24" s="7" t="inlineStr">
        <is>
          <t>Ativo</t>
        </is>
      </c>
      <c r="N24" s="8" t="n">
        <v>46303</v>
      </c>
      <c r="O24" s="7" t="inlineStr">
        <is>
          <t>Levantamento de 08/10/2026</t>
        </is>
      </c>
      <c r="P24" s="6">
        <f>IF($A24="","",IF($M24="Inativo","Não",IF($N24="","Sim",IF(TODAY()-$N24&gt;180,"Sim","Não"))))</f>
        <v/>
      </c>
    </row>
    <row r="25">
      <c r="A25" s="6" t="inlineStr">
        <is>
          <t>crei</t>
        </is>
      </c>
      <c r="B25" s="3" t="inlineStr">
        <is>
          <t>Crei, Centro de Referência Estadual da Igualdade (Seds)</t>
        </is>
      </c>
      <c r="C25" s="6" t="inlineStr">
        <is>
          <t>Justiça e direitos</t>
        </is>
      </c>
      <c r="D25" s="6" t="inlineStr">
        <is>
          <t>Estado</t>
        </is>
      </c>
      <c r="E25" s="6" t="inlineStr"/>
      <c r="F25" s="3" t="inlineStr"/>
      <c r="G25" s="6" t="inlineStr"/>
      <c r="H25" s="6" t="inlineStr">
        <is>
          <t>crei.seds@goias.gov.br</t>
        </is>
      </c>
      <c r="I25" s="6" t="inlineStr"/>
      <c r="J25" s="6" t="inlineStr">
        <is>
          <t>https://goias.gov.br/social/superintendencia-da-igualdade-racial/</t>
        </is>
      </c>
      <c r="K25" s="3" t="inlineStr">
        <is>
          <t>Atendimento psicológico, social e jurídico gratuito, presencial e on-line, a vítimas de racismo, intolerância religiosa e outras discriminações. Ligado à Superintendência da Igualdade Racial, que tem gerência para povos de terreiro. Fonte: Seds/GO; o e-mail aparece também na Superintendência da Mulher: confirme.</t>
        </is>
      </c>
      <c r="L25" s="3" t="inlineStr">
        <is>
          <t>Seds/GO; o e-mail aparece também na Superintendência da Mulher: confirme</t>
        </is>
      </c>
      <c r="M25" s="7" t="inlineStr">
        <is>
          <t>A conferir</t>
        </is>
      </c>
      <c r="N25" s="7" t="n"/>
      <c r="O25" s="7" t="n"/>
      <c r="P25" s="6">
        <f>IF($A25="","",IF($M25="Inativo","Não",IF($N25="","Sim",IF(TODAY()-$N25&gt;180,"Sim","Não"))))</f>
        <v/>
      </c>
    </row>
    <row r="26">
      <c r="A26" s="6" t="inlineStr">
        <is>
          <t>deai</t>
        </is>
      </c>
      <c r="B26" s="3" t="inlineStr">
        <is>
          <t>Delegacia Estadual de Atendimento ao Idoso</t>
        </is>
      </c>
      <c r="C26" s="6" t="inlineStr">
        <is>
          <t>Justiça e direitos</t>
        </is>
      </c>
      <c r="D26" s="6" t="inlineStr">
        <is>
          <t>Goiânia</t>
        </is>
      </c>
      <c r="E26" s="6" t="inlineStr"/>
      <c r="F26" s="3" t="inlineStr">
        <is>
          <t>Av. Anhanguera, nº 463, Setor Universitário, Goiânia</t>
        </is>
      </c>
      <c r="G26" s="6" t="inlineStr">
        <is>
          <t>(62) 3201-1501 / (62) 3201-1511</t>
        </is>
      </c>
      <c r="H26" s="6" t="inlineStr"/>
      <c r="I26" s="6" t="inlineStr">
        <is>
          <t>8h às 18h</t>
        </is>
      </c>
      <c r="J26" s="6" t="inlineStr"/>
      <c r="K26" s="3" t="inlineStr">
        <is>
          <t>Crimes contra a pessoa idosa. Dados da inauguração (2016): confirme antes de ir ou use o 197.</t>
        </is>
      </c>
      <c r="L26" s="3" t="inlineStr">
        <is>
          <t>Protótipo do app (ver aba Fontes)</t>
        </is>
      </c>
      <c r="M26" s="7" t="inlineStr">
        <is>
          <t>A conferir</t>
        </is>
      </c>
      <c r="N26" s="7" t="n"/>
      <c r="O26" s="7" t="n"/>
      <c r="P26" s="6">
        <f>IF($A26="","",IF($M26="Inativo","Não",IF($N26="","Sim",IF(TODAY()-$N26&gt;180,"Sim","Não"))))</f>
        <v/>
      </c>
    </row>
    <row r="27">
      <c r="A27" s="6" t="inlineStr">
        <is>
          <t>hc-ufg</t>
        </is>
      </c>
      <c r="B27" s="3" t="inlineStr">
        <is>
          <t>Hospital das Clínicas da UFG (Ebserh)</t>
        </is>
      </c>
      <c r="C27" s="6" t="inlineStr">
        <is>
          <t>Saúde</t>
        </is>
      </c>
      <c r="D27" s="6" t="inlineStr">
        <is>
          <t>Goiânia</t>
        </is>
      </c>
      <c r="E27" s="6" t="inlineStr"/>
      <c r="F27" s="3" t="inlineStr"/>
      <c r="G27" s="6" t="inlineStr">
        <is>
          <t>(62) 3269-8380</t>
        </is>
      </c>
      <c r="H27" s="6" t="inlineStr"/>
      <c r="I27" s="6" t="inlineStr"/>
      <c r="J27" s="6" t="inlineStr">
        <is>
          <t>https://www.gov.br/ebserh/pt-br/hospitais-universitarios/regiao-centro-oeste/hc-ufg</t>
        </is>
      </c>
      <c r="K27" s="3" t="inlineStr">
        <is>
          <t>Hospital-escola 100% SUS. Consultas e cirurgias pela regulação, com encaminhamento da UBS. Telefone de 2021: confirme. Carta de Serviços 2026 no site.</t>
        </is>
      </c>
      <c r="L27" s="3" t="inlineStr">
        <is>
          <t>Protótipo do app (ver aba Fontes)</t>
        </is>
      </c>
      <c r="M27" s="7" t="inlineStr">
        <is>
          <t>A conferir</t>
        </is>
      </c>
      <c r="N27" s="7" t="n"/>
      <c r="O27" s="7" t="n"/>
      <c r="P27" s="6">
        <f>IF($A27="","",IF($M27="Inativo","Não",IF($N27="","Sim",IF(TODAY()-$N27&gt;180,"Sim","Não"))))</f>
        <v/>
      </c>
    </row>
    <row r="28">
      <c r="A28" s="6" t="inlineStr">
        <is>
          <t>araujo-jorge</t>
        </is>
      </c>
      <c r="B28" s="3" t="inlineStr">
        <is>
          <t>Hospital de Câncer Araújo Jorge (ACCG)</t>
        </is>
      </c>
      <c r="C28" s="6" t="inlineStr">
        <is>
          <t>Saúde</t>
        </is>
      </c>
      <c r="D28" s="6" t="inlineStr">
        <is>
          <t>Goiânia</t>
        </is>
      </c>
      <c r="E28" s="6" t="inlineStr"/>
      <c r="F28" s="3" t="inlineStr"/>
      <c r="G28" s="6" t="inlineStr"/>
      <c r="H28" s="6" t="inlineStr"/>
      <c r="I28" s="6" t="inlineStr"/>
      <c r="J28" s="6" t="inlineStr">
        <is>
          <t>https://www.accg.org.br</t>
        </is>
      </c>
      <c r="K28" s="3" t="inlineStr">
        <is>
          <t>Único Centro de Alta Complexidade em Oncologia (Cacon) do Estado, filantrópico com atendimento SUS. Acesso pela regulação. Houve suspensões de novos atendimentos em 2025: confirme antes.</t>
        </is>
      </c>
      <c r="L28" s="3" t="inlineStr">
        <is>
          <t>Protótipo do app (ver aba Fontes)</t>
        </is>
      </c>
      <c r="M28" s="7" t="inlineStr">
        <is>
          <t>A conferir</t>
        </is>
      </c>
      <c r="N28" s="7" t="n"/>
      <c r="O28" s="7" t="n"/>
      <c r="P28" s="6">
        <f>IF($A28="","",IF($M28="Inativo","Não",IF($N28="","Sim",IF(TODAY()-$N28&gt;180,"Sim","Não"))))</f>
        <v/>
      </c>
    </row>
    <row r="29">
      <c r="A29" s="6" t="inlineStr">
        <is>
          <t>capsi</t>
        </is>
      </c>
      <c r="B29" s="3" t="inlineStr">
        <is>
          <t>CAPSi estadual, saúde mental de crianças e adolescentes</t>
        </is>
      </c>
      <c r="C29" s="6" t="inlineStr">
        <is>
          <t>Saúde</t>
        </is>
      </c>
      <c r="D29" s="6" t="inlineStr">
        <is>
          <t>Goiânia</t>
        </is>
      </c>
      <c r="E29" s="6" t="inlineStr"/>
      <c r="F29" s="3" t="inlineStr">
        <is>
          <t>Rua 72 c/ Av. H, s/n, Parque da Criança, Jardim Goiás, Goiânia, CEP 74805-480</t>
        </is>
      </c>
      <c r="G29" s="6" t="inlineStr">
        <is>
          <t>(62) 3201-4346 / (62) 3201-4473</t>
        </is>
      </c>
      <c r="H29" s="6" t="inlineStr">
        <is>
          <t>capsiestadual@gmail.com</t>
        </is>
      </c>
      <c r="I29" s="6" t="inlineStr"/>
      <c r="J29" s="6" t="inlineStr"/>
      <c r="K29" s="3" t="inlineStr">
        <is>
          <t>De 3 a 17 anos, com os pais ou responsáveis: psicologia, fonoaudiologia, terapia ocupacional, grupos e serviço social. Fonte: SES/GO; confirme o horário por telefone.</t>
        </is>
      </c>
      <c r="L29" s="3" t="inlineStr">
        <is>
          <t>SES/GO; confirme o horário por telefone</t>
        </is>
      </c>
      <c r="M29" s="7" t="inlineStr">
        <is>
          <t>A conferir</t>
        </is>
      </c>
      <c r="N29" s="7" t="n"/>
      <c r="O29" s="7" t="n"/>
      <c r="P29" s="6">
        <f>IF($A29="","",IF($M29="Inativo","Não",IF($N29="","Sim",IF(TODAY()-$N29&gt;180,"Sim","Não"))))</f>
        <v/>
      </c>
    </row>
    <row r="30">
      <c r="A30" s="6" t="inlineStr">
        <is>
          <t>hgg-tx</t>
        </is>
      </c>
      <c r="B30" s="3" t="inlineStr">
        <is>
          <t>Ambulatório TX do HGG, saúde da pessoa trans</t>
        </is>
      </c>
      <c r="C30" s="6" t="inlineStr">
        <is>
          <t>Saúde</t>
        </is>
      </c>
      <c r="D30" s="6" t="inlineStr">
        <is>
          <t>Goiânia</t>
        </is>
      </c>
      <c r="E30" s="6" t="inlineStr"/>
      <c r="F30" s="3" t="inlineStr"/>
      <c r="G30" s="6" t="inlineStr"/>
      <c r="H30" s="6" t="inlineStr"/>
      <c r="I30" s="6" t="inlineStr"/>
      <c r="J30" s="6" t="inlineStr">
        <is>
          <t>https://goias.gov.br/saude/ambulatorio-para-transexuais-comeca-a-funcionar-no-hgg/</t>
        </is>
      </c>
      <c r="K30" s="3" t="inlineStr">
        <is>
          <t>Hormonização, psicologia, fonoaudiologia e cirurgias pelo SUS. Entrada com encaminhamento da UBS. Fonte: SES/GO.</t>
        </is>
      </c>
      <c r="L30" s="3" t="inlineStr">
        <is>
          <t>SES/GO</t>
        </is>
      </c>
      <c r="M30" s="7" t="inlineStr">
        <is>
          <t>Ativo</t>
        </is>
      </c>
      <c r="N30" s="7" t="n"/>
      <c r="O30" s="7" t="n"/>
      <c r="P30" s="6">
        <f>IF($A30="","",IF($M30="Inativo","Não",IF($N30="","Sim",IF(TODAY()-$N30&gt;180,"Sim","Não"))))</f>
        <v/>
      </c>
    </row>
    <row r="31">
      <c r="A31" s="6" t="inlineStr">
        <is>
          <t>transviver</t>
        </is>
      </c>
      <c r="B31" s="3" t="inlineStr">
        <is>
          <t>Ambulatório Transviver (Prefeitura de Goiânia)</t>
        </is>
      </c>
      <c r="C31" s="6" t="inlineStr">
        <is>
          <t>Saúde</t>
        </is>
      </c>
      <c r="D31" s="6" t="inlineStr">
        <is>
          <t>Goiânia</t>
        </is>
      </c>
      <c r="E31" s="6" t="inlineStr"/>
      <c r="F31" s="3" t="inlineStr">
        <is>
          <t>Nas instalações da UPA Novo Mundo, Goiânia</t>
        </is>
      </c>
      <c r="G31" s="6" t="inlineStr"/>
      <c r="H31" s="6" t="inlineStr"/>
      <c r="I31" s="6" t="inlineStr">
        <is>
          <t>Seg a sex, 7h às 19h</t>
        </is>
      </c>
      <c r="J31" s="6" t="inlineStr"/>
      <c r="K31" s="3" t="inlineStr">
        <is>
          <t>Para maiores de 18 anos: endocrinologia, psicologia, enfermagem, serviço social e hormônios. Fonte: imprensa, 2024: confirme.</t>
        </is>
      </c>
      <c r="L31" s="3" t="inlineStr">
        <is>
          <t>imprensa, 2024: confirme</t>
        </is>
      </c>
      <c r="M31" s="7" t="inlineStr">
        <is>
          <t>A conferir</t>
        </is>
      </c>
      <c r="N31" s="7" t="n"/>
      <c r="O31" s="7" t="n"/>
      <c r="P31" s="6">
        <f>IF($A31="","",IF($M31="Inativo","Não",IF($N31="","Sim",IF(TODAY()-$N31&gt;180,"Sim","Não"))))</f>
        <v/>
      </c>
    </row>
    <row r="32">
      <c r="A32" s="6" t="inlineStr">
        <is>
          <t>escritorio-social</t>
        </is>
      </c>
      <c r="B32" s="3" t="inlineStr">
        <is>
          <t>Escritório Social, apoio a egressos do sistema prisional</t>
        </is>
      </c>
      <c r="C32" s="6" t="inlineStr">
        <is>
          <t>Justiça e direitos</t>
        </is>
      </c>
      <c r="D32" s="6" t="inlineStr">
        <is>
          <t>Goiânia</t>
        </is>
      </c>
      <c r="E32" s="6" t="inlineStr"/>
      <c r="F32" s="3" t="inlineStr">
        <is>
          <t>Rua 83, nº 484, Setor Sul, Goiânia</t>
        </is>
      </c>
      <c r="G32" s="6" t="inlineStr"/>
      <c r="H32" s="6" t="inlineStr"/>
      <c r="I32" s="6" t="inlineStr"/>
      <c r="J32" s="6" t="inlineStr"/>
      <c r="K32" s="3" t="inlineStr">
        <is>
          <t>Egressos, pré-egressos e liberados condicionais e suas famílias: documentos, trabalho, estudo e políticas sociais. Atendimento voluntário. Inaugurado em dez/2024 (Goiás Social): confirme o horário.</t>
        </is>
      </c>
      <c r="L32" s="3" t="inlineStr">
        <is>
          <t>Protótipo do app (ver aba Fontes)</t>
        </is>
      </c>
      <c r="M32" s="7" t="inlineStr">
        <is>
          <t>A conferir</t>
        </is>
      </c>
      <c r="N32" s="7" t="n"/>
      <c r="O32" s="7" t="n"/>
      <c r="P32" s="6">
        <f>IF($A32="","",IF($M32="Inativo","Não",IF($N32="","Sim",IF(TODAY()-$N32&gt;180,"Sim","Não"))))</f>
        <v/>
      </c>
    </row>
    <row r="33">
      <c r="A33" s="6" t="inlineStr">
        <is>
          <t>pastoral-migrantes</t>
        </is>
      </c>
      <c r="B33" s="3" t="inlineStr">
        <is>
          <t>Pastoral dos Migrantes de Goiânia</t>
        </is>
      </c>
      <c r="C33" s="6" t="inlineStr">
        <is>
          <t>Rede comunitária e gratuita</t>
        </is>
      </c>
      <c r="D33" s="6" t="inlineStr">
        <is>
          <t>Goiânia</t>
        </is>
      </c>
      <c r="E33" s="6" t="inlineStr"/>
      <c r="F33" s="3" t="inlineStr"/>
      <c r="G33" s="6" t="inlineStr">
        <is>
          <t>(62) 4018-1606 / (62) 99635-1212</t>
        </is>
      </c>
      <c r="H33" s="6" t="inlineStr"/>
      <c r="I33" s="6" t="inlineStr"/>
      <c r="J33" s="6" t="inlineStr"/>
      <c r="K33" s="3" t="inlineStr">
        <is>
          <t>Acolhe migrantes e refugiados (venezuelanos, haitianos e outros): orientação, documentos, trabalho. Tem ponto de atendimento na rodoviária. Fonte: CSEM, publicação antiga: confirme.</t>
        </is>
      </c>
      <c r="L33" s="3" t="inlineStr">
        <is>
          <t>CSEM, publicação antiga: confirme</t>
        </is>
      </c>
      <c r="M33" s="7" t="inlineStr">
        <is>
          <t>A conferir</t>
        </is>
      </c>
      <c r="N33" s="7" t="n"/>
      <c r="O33" s="7" t="n"/>
      <c r="P33" s="6">
        <f>IF($A33="","",IF($M33="Inativo","Não",IF($N33="","Sim",IF(TODAY()-$N33&gt;180,"Sim","Não"))))</f>
        <v/>
      </c>
    </row>
    <row r="34">
      <c r="A34" s="6" t="inlineStr">
        <is>
          <t>cejusc</t>
        </is>
      </c>
      <c r="B34" s="3" t="inlineStr">
        <is>
          <t>Cejusc, conciliação gratuita do TJGO</t>
        </is>
      </c>
      <c r="C34" s="6" t="inlineStr">
        <is>
          <t>Justiça e direitos</t>
        </is>
      </c>
      <c r="D34" s="6" t="inlineStr">
        <is>
          <t>Goiânia</t>
        </is>
      </c>
      <c r="E34" s="6" t="inlineStr"/>
      <c r="F34" s="3" t="inlineStr">
        <is>
          <t>Fórum Cível de Goiânia, Av. Olinda c/ Rua PL-03, Park Lozandes</t>
        </is>
      </c>
      <c r="G34" s="6" t="inlineStr">
        <is>
          <t>WhatsApp (62) 99218-2532</t>
        </is>
      </c>
      <c r="H34" s="6" t="inlineStr"/>
      <c r="I34" s="6" t="inlineStr"/>
      <c r="J34" s="6" t="inlineStr"/>
      <c r="K34" s="3" t="inlineStr">
        <is>
          <t>Acordo sobre pensão, guarda, visitas, divórcio e dívidas, sem processo. WhatsApp divulgado nas Semanas da Conciliação de 2023 e 2024: confirme.</t>
        </is>
      </c>
      <c r="L34" s="3" t="inlineStr">
        <is>
          <t>Protótipo do app (ver aba Fontes)</t>
        </is>
      </c>
      <c r="M34" s="7" t="inlineStr">
        <is>
          <t>A conferir</t>
        </is>
      </c>
      <c r="N34" s="7" t="n"/>
      <c r="O34" s="7" t="n"/>
      <c r="P34" s="6">
        <f>IF($A34="","",IF($M34="Inativo","Não",IF($N34="","Sim",IF(TODAY()-$N34&gt;180,"Sim","Não"))))</f>
        <v/>
      </c>
    </row>
    <row r="35">
      <c r="A35" s="6" t="inlineStr">
        <is>
          <t>restbem</t>
        </is>
      </c>
      <c r="B35" s="3" t="inlineStr">
        <is>
          <t>Restaurante do Bem (OVG), refeição a R$ 2</t>
        </is>
      </c>
      <c r="C35" s="6" t="inlineStr">
        <is>
          <t>Rede comunitária e gratuita</t>
        </is>
      </c>
      <c r="D35" s="6" t="inlineStr">
        <is>
          <t>Goiânia</t>
        </is>
      </c>
      <c r="E35" s="6" t="inlineStr"/>
      <c r="F35" s="3" t="inlineStr">
        <is>
          <t>Av. Araguaia esq. c/ Rua 3, nº 514, Setor Central, Goiânia</t>
        </is>
      </c>
      <c r="G35" s="6" t="inlineStr"/>
      <c r="H35" s="6" t="inlineStr"/>
      <c r="I35" s="6" t="inlineStr"/>
      <c r="J35" s="6" t="inlineStr">
        <is>
          <t>https://ovg.org.br</t>
        </is>
      </c>
      <c r="K35" s="3" t="inlineStr">
        <is>
          <t>Almoço a R$ 2 para pessoas em vulnerabilidade, idosos e população de rua. Há outras unidades em Goiânia (Campinas) e no interior. Fonte: regulamento OVG, 2024: confirme o horário.</t>
        </is>
      </c>
      <c r="L35" s="3" t="inlineStr">
        <is>
          <t>regulamento OVG, 2024: confirme o horário</t>
        </is>
      </c>
      <c r="M35" s="7" t="inlineStr">
        <is>
          <t>A conferir</t>
        </is>
      </c>
      <c r="N35" s="7" t="n"/>
      <c r="O35" s="7" t="n"/>
      <c r="P35" s="6">
        <f>IF($A35="","",IF($M35="Inativo","Não",IF($N35="","Sim",IF(TODAY()-$N35&gt;180,"Sim","Não"))))</f>
        <v/>
      </c>
    </row>
    <row r="36">
      <c r="A36" s="6" t="inlineStr">
        <is>
          <t>bancoalimentos</t>
        </is>
      </c>
      <c r="B36" s="3" t="inlineStr">
        <is>
          <t>Banco de Alimentos da OVG (para entidades)</t>
        </is>
      </c>
      <c r="C36" s="6" t="inlineStr">
        <is>
          <t>Rede comunitária e gratuita</t>
        </is>
      </c>
      <c r="D36" s="6" t="inlineStr">
        <is>
          <t>Estado</t>
        </is>
      </c>
      <c r="E36" s="6" t="inlineStr"/>
      <c r="F36" s="3" t="inlineStr"/>
      <c r="G36" s="6" t="inlineStr"/>
      <c r="H36" s="6" t="inlineStr"/>
      <c r="I36" s="6" t="inlineStr"/>
      <c r="J36" s="6" t="inlineStr">
        <is>
          <t>https://ovg.org.br</t>
        </is>
      </c>
      <c r="K36" s="3" t="inlineStr">
        <is>
          <t>Entidades sem fins lucrativos que servem refeições se cadastram pelo site da OVG e recebem alimentos da Ceasa. Útil para igrejas e ONGs da rede.</t>
        </is>
      </c>
      <c r="L36" s="3" t="inlineStr">
        <is>
          <t>Protótipo do app (ver aba Fontes)</t>
        </is>
      </c>
      <c r="M36" s="7" t="inlineStr">
        <is>
          <t>Ativo</t>
        </is>
      </c>
      <c r="N36" s="7" t="n"/>
      <c r="O36" s="7" t="n"/>
      <c r="P36" s="6">
        <f>IF($A36="","",IF($M36="Inativo","Não",IF($N36="","Sim",IF(TODAY()-$N36&gt;180,"Sim","Não"))))</f>
        <v/>
      </c>
    </row>
    <row r="37">
      <c r="A37" s="6" t="inlineStr">
        <is>
          <t>pestalozzi</t>
        </is>
      </c>
      <c r="B37" s="3" t="inlineStr">
        <is>
          <t>Associação Pestalozzi de Goiânia</t>
        </is>
      </c>
      <c r="C37" s="6" t="inlineStr">
        <is>
          <t>Rede comunitária e gratuita</t>
        </is>
      </c>
      <c r="D37" s="6" t="inlineStr">
        <is>
          <t>Goiânia</t>
        </is>
      </c>
      <c r="E37" s="6" t="inlineStr"/>
      <c r="F37" s="3" t="inlineStr">
        <is>
          <t>Centro Peter Pan: Praça da Bíblia, Qd. K, Vila Santa Isabel, Goiânia</t>
        </is>
      </c>
      <c r="G37" s="6" t="inlineStr"/>
      <c r="H37" s="6" t="inlineStr"/>
      <c r="I37" s="6" t="inlineStr"/>
      <c r="J37" s="6" t="inlineStr"/>
      <c r="K37" s="3" t="inlineStr">
        <is>
          <t>Atendimento especializado e educação para pessoas com deficiência intelectual ou múltipla. Fonte: convênio com a Seduc/GO: confirme.</t>
        </is>
      </c>
      <c r="L37" s="3" t="inlineStr">
        <is>
          <t>convênio com a Seduc/GO: confirme</t>
        </is>
      </c>
      <c r="M37" s="7" t="inlineStr">
        <is>
          <t>A conferir</t>
        </is>
      </c>
      <c r="N37" s="7" t="n"/>
      <c r="O37" s="7" t="n"/>
      <c r="P37" s="6">
        <f>IF($A37="","",IF($M37="Inativo","Não",IF($N37="","Sim",IF(TODAY()-$N37&gt;180,"Sim","Não"))))</f>
        <v/>
      </c>
    </row>
    <row r="38">
      <c r="A38" s="6" t="inlineStr">
        <is>
          <t>apae-gyn</t>
        </is>
      </c>
      <c r="B38" s="3" t="inlineStr">
        <is>
          <t>APAE de Goiânia</t>
        </is>
      </c>
      <c r="C38" s="6" t="inlineStr">
        <is>
          <t>Rede comunitária e gratuita</t>
        </is>
      </c>
      <c r="D38" s="6" t="inlineStr">
        <is>
          <t>Goiânia</t>
        </is>
      </c>
      <c r="E38" s="6" t="inlineStr"/>
      <c r="F38" s="3" t="inlineStr">
        <is>
          <t>Rua 255, nº 628, Setor Coimbra, Goiânia</t>
        </is>
      </c>
      <c r="G38" s="6" t="inlineStr"/>
      <c r="H38" s="6" t="inlineStr"/>
      <c r="I38" s="6" t="inlineStr"/>
      <c r="J38" s="6" t="inlineStr"/>
      <c r="K38" s="3" t="inlineStr">
        <is>
          <t>Pessoas com deficiência intelectual ou múltipla: pediatria, psicologia, neurologia, fisioterapia, odontologia. Fonte: diretório não oficial: confirme.</t>
        </is>
      </c>
      <c r="L38" s="3" t="inlineStr">
        <is>
          <t>diretório não oficial: confirme</t>
        </is>
      </c>
      <c r="M38" s="7" t="inlineStr">
        <is>
          <t>A conferir</t>
        </is>
      </c>
      <c r="N38" s="7" t="n"/>
      <c r="O38" s="7" t="n"/>
      <c r="P38" s="6">
        <f>IF($A38="","",IF($M38="Inativo","Não",IF($N38="","Sim",IF(TODAY()-$N38&gt;180,"Sim","Não"))))</f>
        <v/>
      </c>
    </row>
    <row r="39">
      <c r="A39" s="6" t="inlineStr">
        <is>
          <t>anhanguera-psi</t>
        </is>
      </c>
      <c r="B39" s="3" t="inlineStr">
        <is>
          <t>Clínica-escola de Psicologia da Faculdade Anhanguera de Goiânia</t>
        </is>
      </c>
      <c r="C39" s="6" t="inlineStr">
        <is>
          <t>Rede comunitária e gratuita</t>
        </is>
      </c>
      <c r="D39" s="6" t="inlineStr">
        <is>
          <t>Goiânia</t>
        </is>
      </c>
      <c r="E39" s="6" t="inlineStr"/>
      <c r="F39" s="3" t="inlineStr"/>
      <c r="G39" s="6" t="inlineStr"/>
      <c r="H39" s="6" t="inlineStr"/>
      <c r="I39" s="6" t="inlineStr"/>
      <c r="J39" s="6" t="inlineStr"/>
      <c r="K39" s="3" t="inlineStr">
        <is>
          <t>Psicoterapia, orientação e avaliação psicológica para crianças, adolescentes, adultos e idosos, por alunos supervisionados. Fonte: imprensa, 2025: confirme como agendar.</t>
        </is>
      </c>
      <c r="L39" s="3" t="inlineStr">
        <is>
          <t>imprensa, 2025: confirme como agendar</t>
        </is>
      </c>
      <c r="M39" s="7" t="inlineStr">
        <is>
          <t>A conferir</t>
        </is>
      </c>
      <c r="N39" s="7" t="n"/>
      <c r="O39" s="7" t="n"/>
      <c r="P39" s="6">
        <f>IF($A39="","",IF($M39="Inativo","Não",IF($N39="","Sim",IF(TODAY()-$N39&gt;180,"Sim","Não"))))</f>
        <v/>
      </c>
    </row>
    <row r="40">
      <c r="A40" s="6" t="inlineStr">
        <is>
          <t>mec</t>
        </is>
      </c>
      <c r="B40" s="3" t="inlineStr">
        <is>
          <t>MEC: Prouni, Fies e Sisu</t>
        </is>
      </c>
      <c r="C40" s="6" t="inlineStr">
        <is>
          <t>Educação</t>
        </is>
      </c>
      <c r="D40" s="6" t="inlineStr">
        <is>
          <t>Nacional</t>
        </is>
      </c>
      <c r="E40" s="6" t="inlineStr"/>
      <c r="F40" s="3" t="inlineStr"/>
      <c r="G40" s="6" t="inlineStr">
        <is>
          <t>Fale Conosco 0800 616161</t>
        </is>
      </c>
      <c r="H40" s="6" t="inlineStr"/>
      <c r="I40" s="6" t="inlineStr"/>
      <c r="J40" s="6" t="inlineStr">
        <is>
          <t>https://acessounico.mec.gov.br</t>
        </is>
      </c>
      <c r="K40" s="3" t="inlineStr">
        <is>
          <t>Inscrições com a conta gov.br, nas datas de cada edital. Prouni e Fies abrem duas vezes por ano; o Sisu, no início do ano.</t>
        </is>
      </c>
      <c r="L40" s="3" t="inlineStr">
        <is>
          <t>Protótipo do app (ver aba Fontes)</t>
        </is>
      </c>
      <c r="M40" s="7" t="inlineStr">
        <is>
          <t>Ativo</t>
        </is>
      </c>
      <c r="N40" s="7" t="n"/>
      <c r="O40" s="7" t="n"/>
      <c r="P40" s="6">
        <f>IF($A40="","",IF($M40="Inativo","Não",IF($N40="","Sim",IF(TODAY()-$N40&gt;180,"Sim","Não"))))</f>
        <v/>
      </c>
    </row>
    <row r="41">
      <c r="A41" s="6" t="inlineStr">
        <is>
          <t>inep</t>
        </is>
      </c>
      <c r="B41" s="3" t="inlineStr">
        <is>
          <t>Inep: Enem e Encceja</t>
        </is>
      </c>
      <c r="C41" s="6" t="inlineStr">
        <is>
          <t>Educação</t>
        </is>
      </c>
      <c r="D41" s="6" t="inlineStr">
        <is>
          <t>Nacional</t>
        </is>
      </c>
      <c r="E41" s="6" t="inlineStr"/>
      <c r="F41" s="3" t="inlineStr"/>
      <c r="G41" s="6" t="inlineStr"/>
      <c r="H41" s="6" t="inlineStr"/>
      <c r="I41" s="6" t="inlineStr"/>
      <c r="J41" s="6" t="inlineStr">
        <is>
          <t>https://www.gov.br/inep</t>
        </is>
      </c>
      <c r="K41" s="3" t="inlineStr">
        <is>
          <t>Isenção da taxa do Enem (em abril), inscrições e Encceja, na Página do Participante, com a conta gov.br.</t>
        </is>
      </c>
      <c r="L41" s="3" t="inlineStr">
        <is>
          <t>Protótipo do app (ver aba Fontes)</t>
        </is>
      </c>
      <c r="M41" s="7" t="inlineStr">
        <is>
          <t>Ativo</t>
        </is>
      </c>
      <c r="N41" s="7" t="n"/>
      <c r="O41" s="7" t="n"/>
      <c r="P41" s="6">
        <f>IF($A41="","",IF($M41="Inativo","Não",IF($N41="","Sim",IF(TODAY()-$N41&gt;180,"Sim","Não"))))</f>
        <v/>
      </c>
    </row>
    <row r="42">
      <c r="A42" s="6" t="inlineStr">
        <is>
          <t>ovg</t>
        </is>
      </c>
      <c r="B42" s="3" t="inlineStr">
        <is>
          <t>ProBem, OVG (bolsas universitárias do Estado)</t>
        </is>
      </c>
      <c r="C42" s="6" t="inlineStr">
        <is>
          <t>Educação</t>
        </is>
      </c>
      <c r="D42" s="6" t="inlineStr">
        <is>
          <t>Estado</t>
        </is>
      </c>
      <c r="E42" s="6" t="inlineStr"/>
      <c r="F42" s="3" t="inlineStr"/>
      <c r="G42" s="6" t="inlineStr">
        <is>
          <t>Região metropolitana (62) 3270-8500 / Interior 0800 062 9413 / WhatsApp (62) 99641-6090</t>
        </is>
      </c>
      <c r="H42" s="6" t="inlineStr"/>
      <c r="I42" s="6" t="inlineStr"/>
      <c r="J42" s="6" t="inlineStr">
        <is>
          <t>https://www.ovg.org.br</t>
        </is>
      </c>
      <c r="K42" s="3" t="inlineStr">
        <is>
          <t>Inscrições por edital, uma vez por semestre, só pelo site da OVG. Seleção pelo CadÚnico. Fonte: Governo de Goiás e imprensa, 2026.</t>
        </is>
      </c>
      <c r="L42" s="3" t="inlineStr">
        <is>
          <t>Governo de Goiás e imprensa, 2026</t>
        </is>
      </c>
      <c r="M42" s="7" t="inlineStr">
        <is>
          <t>Ativo</t>
        </is>
      </c>
      <c r="N42" s="7" t="n"/>
      <c r="O42" s="7" t="n"/>
      <c r="P42" s="6">
        <f>IF($A42="","",IF($M42="Inativo","Não",IF($N42="","Sim",IF(TODAY()-$N42&gt;180,"Sim","Não"))))</f>
        <v/>
      </c>
    </row>
    <row r="43">
      <c r="A43" s="6" t="inlineStr">
        <is>
          <t>samu</t>
        </is>
      </c>
      <c r="B43" s="3" t="inlineStr">
        <is>
          <t>SAMU 192</t>
        </is>
      </c>
      <c r="C43" s="6" t="inlineStr">
        <is>
          <t>Saúde</t>
        </is>
      </c>
      <c r="D43" s="6" t="inlineStr">
        <is>
          <t>Região metropolitana</t>
        </is>
      </c>
      <c r="E43" s="6" t="inlineStr"/>
      <c r="F43" s="3" t="inlineStr"/>
      <c r="G43" s="6" t="inlineStr">
        <is>
          <t>192</t>
        </is>
      </c>
      <c r="H43" s="6" t="inlineStr"/>
      <c r="I43" s="6" t="inlineStr"/>
      <c r="J43" s="6" t="inlineStr"/>
      <c r="K43" s="3" t="inlineStr">
        <is>
          <t>Emergência com risco de vida. A Central de Regulação de Goiânia atende a região metropolitana.</t>
        </is>
      </c>
      <c r="L43" s="3" t="inlineStr">
        <is>
          <t>Protótipo do app (ver aba Fontes)</t>
        </is>
      </c>
      <c r="M43" s="7" t="inlineStr">
        <is>
          <t>Ativo</t>
        </is>
      </c>
      <c r="N43" s="7" t="n"/>
      <c r="O43" s="7" t="n"/>
      <c r="P43" s="6">
        <f>IF($A43="","",IF($M43="Inativo","Não",IF($N43="","Sim",IF(TODAY()-$N43&gt;180,"Sim","Não"))))</f>
        <v/>
      </c>
    </row>
    <row r="44">
      <c r="A44" s="6" t="inlineStr">
        <is>
          <t>hugo</t>
        </is>
      </c>
      <c r="B44" s="3" t="inlineStr">
        <is>
          <t>HUGO, Hospital Estadual de Urgências de Goiânia</t>
        </is>
      </c>
      <c r="C44" s="6" t="inlineStr">
        <is>
          <t>Saúde</t>
        </is>
      </c>
      <c r="D44" s="6" t="inlineStr">
        <is>
          <t>Goiânia</t>
        </is>
      </c>
      <c r="E44" s="6" t="inlineStr"/>
      <c r="F44" s="3" t="inlineStr"/>
      <c r="G44" s="6" t="inlineStr">
        <is>
          <t>(62) 3201-4420</t>
        </is>
      </c>
      <c r="H44" s="6" t="inlineStr"/>
      <c r="I44" s="6" t="inlineStr"/>
      <c r="J44" s="6" t="inlineStr"/>
      <c r="K44" s="3" t="inlineStr"/>
      <c r="L44" s="3" t="inlineStr">
        <is>
          <t>Protótipo do app (ver aba Fontes)</t>
        </is>
      </c>
      <c r="M44" s="7" t="inlineStr">
        <is>
          <t>Ativo</t>
        </is>
      </c>
      <c r="N44" s="7" t="n"/>
      <c r="O44" s="7" t="n"/>
      <c r="P44" s="6">
        <f>IF($A44="","",IF($M44="Inativo","Não",IF($N44="","Sim",IF(TODAY()-$N44&gt;180,"Sim","Não"))))</f>
        <v/>
      </c>
    </row>
    <row r="45">
      <c r="A45" s="6" t="inlineStr">
        <is>
          <t>hmi</t>
        </is>
      </c>
      <c r="B45" s="3" t="inlineStr">
        <is>
          <t>HMI, Hospital Estadual Materno-Infantil</t>
        </is>
      </c>
      <c r="C45" s="6" t="inlineStr">
        <is>
          <t>Saúde</t>
        </is>
      </c>
      <c r="D45" s="6" t="inlineStr">
        <is>
          <t>Goiânia</t>
        </is>
      </c>
      <c r="E45" s="6" t="inlineStr"/>
      <c r="F45" s="3" t="inlineStr"/>
      <c r="G45" s="6" t="inlineStr">
        <is>
          <t>(62) 3956-2900</t>
        </is>
      </c>
      <c r="H45" s="6" t="inlineStr"/>
      <c r="I45" s="6" t="inlineStr"/>
      <c r="J45" s="6" t="inlineStr"/>
      <c r="K45" s="3" t="inlineStr"/>
      <c r="L45" s="3" t="inlineStr">
        <is>
          <t>Protótipo do app (ver aba Fontes)</t>
        </is>
      </c>
      <c r="M45" s="7" t="inlineStr">
        <is>
          <t>Ativo</t>
        </is>
      </c>
      <c r="N45" s="7" t="n"/>
      <c r="O45" s="7" t="n"/>
      <c r="P45" s="6">
        <f>IF($A45="","",IF($M45="Inativo","Não",IF($N45="","Sim",IF(TODAY()-$N45&gt;180,"Sim","Não"))))</f>
        <v/>
      </c>
    </row>
    <row r="46">
      <c r="A46" s="6" t="inlineStr">
        <is>
          <t>hem</t>
        </is>
      </c>
      <c r="B46" s="3" t="inlineStr">
        <is>
          <t>Hemu, Hospital Estadual da Mulher</t>
        </is>
      </c>
      <c r="C46" s="6" t="inlineStr">
        <is>
          <t>Saúde</t>
        </is>
      </c>
      <c r="D46" s="6" t="inlineStr">
        <is>
          <t>Goiânia</t>
        </is>
      </c>
      <c r="E46" s="6" t="inlineStr"/>
      <c r="F46" s="3" t="inlineStr"/>
      <c r="G46" s="6" t="inlineStr">
        <is>
          <t>(62) 3956-2901</t>
        </is>
      </c>
      <c r="H46" s="6" t="inlineStr"/>
      <c r="I46" s="6" t="inlineStr"/>
      <c r="J46" s="6" t="inlineStr">
        <is>
          <t>https://goias.gov.br/saude/hemu/</t>
        </is>
      </c>
      <c r="K46" s="3" t="inlineStr">
        <is>
          <t>Ambulatório de Atendimento às Vítimas de Violência Sexual (mulheres, homens, adolescentes e crianças), por procura direta ou encaminhamento: contracepção de emergência, profilaxia de IST e HIV, psicologia. Referência estadual para o aborto previsto em lei.</t>
        </is>
      </c>
      <c r="L46" s="3" t="inlineStr">
        <is>
          <t>Protótipo do app (ver aba Fontes)</t>
        </is>
      </c>
      <c r="M46" s="7" t="inlineStr">
        <is>
          <t>Ativo</t>
        </is>
      </c>
      <c r="N46" s="7" t="n"/>
      <c r="O46" s="7" t="n"/>
      <c r="P46" s="6">
        <f>IF($A46="","",IF($M46="Inativo","Não",IF($N46="","Sim",IF(TODAY()-$N46&gt;180,"Sim","Não"))))</f>
        <v/>
      </c>
    </row>
    <row r="47">
      <c r="A47" s="6" t="inlineStr">
        <is>
          <t>huapa</t>
        </is>
      </c>
      <c r="B47" s="3" t="inlineStr">
        <is>
          <t>Huapa, Hospital Estadual de Aparecida</t>
        </is>
      </c>
      <c r="C47" s="6" t="inlineStr">
        <is>
          <t>Saúde</t>
        </is>
      </c>
      <c r="D47" s="6" t="inlineStr">
        <is>
          <t>Aparecida de Goiânia</t>
        </is>
      </c>
      <c r="E47" s="6" t="inlineStr"/>
      <c r="F47" s="3" t="inlineStr"/>
      <c r="G47" s="6" t="inlineStr">
        <is>
          <t>(62) 3217-8900</t>
        </is>
      </c>
      <c r="H47" s="6" t="inlineStr"/>
      <c r="I47" s="6" t="inlineStr"/>
      <c r="J47" s="6" t="inlineStr"/>
      <c r="K47" s="3" t="inlineStr"/>
      <c r="L47" s="3" t="inlineStr">
        <is>
          <t>Protótipo do app (ver aba Fontes)</t>
        </is>
      </c>
      <c r="M47" s="7" t="inlineStr">
        <is>
          <t>Ativo</t>
        </is>
      </c>
      <c r="N47" s="7" t="n"/>
      <c r="O47" s="7" t="n"/>
      <c r="P47" s="6">
        <f>IF($A47="","",IF($M47="Inativo","Não",IF($N47="","Sim",IF(TODAY()-$N47&gt;180,"Sim","Não"))))</f>
        <v/>
      </c>
    </row>
    <row r="48">
      <c r="A48" s="6" t="inlineStr">
        <is>
          <t>hutrin</t>
        </is>
      </c>
      <c r="B48" s="3" t="inlineStr">
        <is>
          <t>Hutrin, Hospital Estadual de Trindade</t>
        </is>
      </c>
      <c r="C48" s="6" t="inlineStr">
        <is>
          <t>Saúde</t>
        </is>
      </c>
      <c r="D48" s="6" t="inlineStr">
        <is>
          <t>Trindade</t>
        </is>
      </c>
      <c r="E48" s="6" t="inlineStr"/>
      <c r="F48" s="3" t="inlineStr"/>
      <c r="G48" s="6" t="inlineStr">
        <is>
          <t>(62) 3506-7002</t>
        </is>
      </c>
      <c r="H48" s="6" t="inlineStr"/>
      <c r="I48" s="6" t="inlineStr"/>
      <c r="J48" s="6" t="inlineStr"/>
      <c r="K48" s="3" t="inlineStr"/>
      <c r="L48" s="3" t="inlineStr">
        <is>
          <t>Protótipo do app (ver aba Fontes)</t>
        </is>
      </c>
      <c r="M48" s="7" t="inlineStr">
        <is>
          <t>Ativo</t>
        </is>
      </c>
      <c r="N48" s="7" t="n"/>
      <c r="O48" s="7" t="n"/>
      <c r="P48" s="6">
        <f>IF($A48="","",IF($M48="Inativo","Não",IF($N48="","Sim",IF(TODAY()-$N48&gt;180,"Sim","Não"))))</f>
        <v/>
      </c>
    </row>
    <row r="49">
      <c r="A49" s="6" t="inlineStr">
        <is>
          <t>cemac</t>
        </is>
      </c>
      <c r="B49" s="3" t="inlineStr">
        <is>
          <t>Cemac Juarez Barbosa, Centro Estadual de Medicação de Alto Custo</t>
        </is>
      </c>
      <c r="C49" s="6" t="inlineStr">
        <is>
          <t>Saúde</t>
        </is>
      </c>
      <c r="D49" s="6" t="inlineStr">
        <is>
          <t>Estado</t>
        </is>
      </c>
      <c r="E49" s="6" t="inlineStr"/>
      <c r="F49" s="3" t="inlineStr">
        <is>
          <t>Rua 16, nº 97, Setor Central, Goiânia, CEP 74015-020</t>
        </is>
      </c>
      <c r="G49" s="6" t="inlineStr">
        <is>
          <t>(62) 3201-7446 / (62) 3201-7450 / Dúvidas/WhatsApp (62) 3201-7453</t>
        </is>
      </c>
      <c r="H49" s="6" t="inlineStr"/>
      <c r="I49" s="6" t="inlineStr">
        <is>
          <t>Seg a sex, 7h às 17h</t>
        </is>
      </c>
      <c r="J49" s="6" t="inlineStr">
        <is>
          <t>https://goias.gov.br/saude/cemac-juarez-barbosa/</t>
        </is>
      </c>
      <c r="K49" s="3" t="inlineStr">
        <is>
          <t>Pedido, renovação e acompanhamento são online pelo go.gov.br. Retirada presencial (Goiânia) ou no município/policlínica (interior).</t>
        </is>
      </c>
      <c r="L49" s="3" t="inlineStr">
        <is>
          <t>Protótipo do app (ver aba Fontes)</t>
        </is>
      </c>
      <c r="M49" s="7" t="inlineStr">
        <is>
          <t>Ativo</t>
        </is>
      </c>
      <c r="N49" s="7" t="n"/>
      <c r="O49" s="7" t="n"/>
      <c r="P49" s="6">
        <f>IF($A49="","",IF($M49="Inativo","Não",IF($N49="","Sim",IF(TODAY()-$N49&gt;180,"Sim","Não"))))</f>
        <v/>
      </c>
    </row>
    <row r="50">
      <c r="A50" s="6" t="inlineStr">
        <is>
          <t>cta</t>
        </is>
      </c>
      <c r="B50" s="3" t="inlineStr">
        <is>
          <t>CTA/SAE Centro de Saúde Cidade Jardim (HIV, IST e hepatites)</t>
        </is>
      </c>
      <c r="C50" s="6" t="inlineStr">
        <is>
          <t>Saúde</t>
        </is>
      </c>
      <c r="D50" s="6" t="inlineStr">
        <is>
          <t>Goiânia</t>
        </is>
      </c>
      <c r="E50" s="6" t="inlineStr"/>
      <c r="F50" s="3" t="inlineStr">
        <is>
          <t>Praça Abel Coimbra, s/n, Cidade Jardim, Goiânia, CEP 74425-250</t>
        </is>
      </c>
      <c r="G50" s="6" t="inlineStr">
        <is>
          <t>(62) 3524-1570 / (62) 3524-1577</t>
        </is>
      </c>
      <c r="H50" s="6" t="inlineStr"/>
      <c r="I50" s="6" t="inlineStr">
        <is>
          <t>Seg a sex, 7h às 19h</t>
        </is>
      </c>
      <c r="J50" s="6" t="inlineStr"/>
      <c r="K50" s="3" t="inlineStr">
        <is>
          <t>Testagem rápida, aconselhamento, infectologista, entrega contínua de antirretrovirais e PrEP. Recebeu os serviços do antigo CRDT.</t>
        </is>
      </c>
      <c r="L50" s="3" t="inlineStr">
        <is>
          <t>Protótipo do app (ver aba Fontes)</t>
        </is>
      </c>
      <c r="M50" s="7" t="inlineStr">
        <is>
          <t>Ativo</t>
        </is>
      </c>
      <c r="N50" s="7" t="n"/>
      <c r="O50" s="7" t="n"/>
      <c r="P50" s="6">
        <f>IF($A50="","",IF($M50="Inativo","Não",IF($N50="","Sim",IF(TODAY()-$N50&gt;180,"Sim","Não"))))</f>
        <v/>
      </c>
    </row>
    <row r="51">
      <c r="A51" s="6" t="inlineStr">
        <is>
          <t>hdt</t>
        </is>
      </c>
      <c r="B51" s="3" t="inlineStr">
        <is>
          <t>HDT, Hospital Estadual de Doenças Tropicais Dr. Anuar Auad</t>
        </is>
      </c>
      <c r="C51" s="6" t="inlineStr">
        <is>
          <t>Saúde</t>
        </is>
      </c>
      <c r="D51" s="6" t="inlineStr">
        <is>
          <t>Estado</t>
        </is>
      </c>
      <c r="E51" s="6" t="inlineStr"/>
      <c r="F51" s="3" t="inlineStr">
        <is>
          <t>Av. Contorno, s/n, Jardim Bela Vista, Goiânia, CEP 74853-120</t>
        </is>
      </c>
      <c r="G51" s="6" t="inlineStr">
        <is>
          <t>Recepção (62) 3201-3658 / Ouvidoria (62) 3201-3799</t>
        </is>
      </c>
      <c r="H51" s="6" t="inlineStr"/>
      <c r="I51" s="6" t="inlineStr"/>
      <c r="J51" s="6" t="inlineStr"/>
      <c r="K51" s="3" t="inlineStr">
        <is>
          <t>Referência estadual em infectologia e HIV/aids. Oferece PEP e PrEP. Programa Prevenir para a Vida (gestantes).</t>
        </is>
      </c>
      <c r="L51" s="3" t="inlineStr">
        <is>
          <t>Protótipo do app (ver aba Fontes)</t>
        </is>
      </c>
      <c r="M51" s="7" t="inlineStr">
        <is>
          <t>Ativo</t>
        </is>
      </c>
      <c r="N51" s="7" t="n"/>
      <c r="O51" s="7" t="n"/>
      <c r="P51" s="6">
        <f>IF($A51="","",IF($M51="Inativo","Não",IF($N51="","Sim",IF(TODAY()-$N51&gt;180,"Sim","Não"))))</f>
        <v/>
      </c>
    </row>
    <row r="52">
      <c r="A52" s="6" t="inlineStr">
        <is>
          <t>pep-noroeste</t>
        </is>
      </c>
      <c r="B52" s="3" t="inlineStr">
        <is>
          <t>UPA Noroeste (PEP 24h)</t>
        </is>
      </c>
      <c r="C52" s="6" t="inlineStr">
        <is>
          <t>Saúde</t>
        </is>
      </c>
      <c r="D52" s="6" t="inlineStr">
        <is>
          <t>Goiânia</t>
        </is>
      </c>
      <c r="E52" s="6" t="inlineStr"/>
      <c r="F52" s="3" t="inlineStr">
        <is>
          <t>Rua JC-22, Jardim Curitiba</t>
        </is>
      </c>
      <c r="G52" s="6" t="inlineStr">
        <is>
          <t>(62) 3524-3461</t>
        </is>
      </c>
      <c r="H52" s="6" t="inlineStr"/>
      <c r="I52" s="6" t="inlineStr"/>
      <c r="J52" s="6" t="inlineStr"/>
      <c r="K52" s="3" t="inlineStr">
        <is>
          <t>Profilaxia pós-exposição ao HIV, até 72h. Lista de 2024: confirme por telefone.</t>
        </is>
      </c>
      <c r="L52" s="3" t="inlineStr">
        <is>
          <t>Protótipo do app (ver aba Fontes)</t>
        </is>
      </c>
      <c r="M52" s="7" t="inlineStr">
        <is>
          <t>A conferir</t>
        </is>
      </c>
      <c r="N52" s="7" t="n"/>
      <c r="O52" s="7" t="n"/>
      <c r="P52" s="6">
        <f>IF($A52="","",IF($M52="Inativo","Não",IF($N52="","Sim",IF(TODAY()-$N52&gt;180,"Sim","Não"))))</f>
        <v/>
      </c>
    </row>
    <row r="53">
      <c r="A53" s="6" t="inlineStr">
        <is>
          <t>pep-itaipu</t>
        </is>
      </c>
      <c r="B53" s="3" t="inlineStr">
        <is>
          <t>UPA Itaipu (PEP 24h)</t>
        </is>
      </c>
      <c r="C53" s="6" t="inlineStr">
        <is>
          <t>Saúde</t>
        </is>
      </c>
      <c r="D53" s="6" t="inlineStr">
        <is>
          <t>Goiânia</t>
        </is>
      </c>
      <c r="E53" s="6" t="inlineStr"/>
      <c r="F53" s="3" t="inlineStr">
        <is>
          <t>Av. do Povo, 13</t>
        </is>
      </c>
      <c r="G53" s="6" t="inlineStr">
        <is>
          <t>(62) 3524-2560</t>
        </is>
      </c>
      <c r="H53" s="6" t="inlineStr"/>
      <c r="I53" s="6" t="inlineStr"/>
      <c r="J53" s="6" t="inlineStr"/>
      <c r="K53" s="3" t="inlineStr">
        <is>
          <t>PEP até 72h. Lista de 2024: confirme por telefone.</t>
        </is>
      </c>
      <c r="L53" s="3" t="inlineStr">
        <is>
          <t>Protótipo do app (ver aba Fontes)</t>
        </is>
      </c>
      <c r="M53" s="7" t="inlineStr">
        <is>
          <t>A conferir</t>
        </is>
      </c>
      <c r="N53" s="7" t="n"/>
      <c r="O53" s="7" t="n"/>
      <c r="P53" s="6">
        <f>IF($A53="","",IF($M53="Inativo","Não",IF($N53="","Sim",IF(TODAY()-$N53&gt;180,"Sim","Não"))))</f>
        <v/>
      </c>
    </row>
    <row r="54">
      <c r="A54" s="6" t="inlineStr">
        <is>
          <t>pep-novomundo</t>
        </is>
      </c>
      <c r="B54" s="3" t="inlineStr">
        <is>
          <t>UPA Jardim Novo Mundo (PEP 24h)</t>
        </is>
      </c>
      <c r="C54" s="6" t="inlineStr">
        <is>
          <t>Saúde</t>
        </is>
      </c>
      <c r="D54" s="6" t="inlineStr">
        <is>
          <t>Goiânia</t>
        </is>
      </c>
      <c r="E54" s="6" t="inlineStr"/>
      <c r="F54" s="3" t="inlineStr">
        <is>
          <t>Av. New York, Qd. 137, s/n, Jd. Novo Mundo</t>
        </is>
      </c>
      <c r="G54" s="6" t="inlineStr">
        <is>
          <t>(62) 3524-5073</t>
        </is>
      </c>
      <c r="H54" s="6" t="inlineStr"/>
      <c r="I54" s="6" t="inlineStr"/>
      <c r="J54" s="6" t="inlineStr"/>
      <c r="K54" s="3" t="inlineStr">
        <is>
          <t>PEP até 72h. Lista de 2024: confirme por telefone.</t>
        </is>
      </c>
      <c r="L54" s="3" t="inlineStr">
        <is>
          <t>Protótipo do app (ver aba Fontes)</t>
        </is>
      </c>
      <c r="M54" s="7" t="inlineStr">
        <is>
          <t>A conferir</t>
        </is>
      </c>
      <c r="N54" s="7" t="n"/>
      <c r="O54" s="7" t="n"/>
      <c r="P54" s="6">
        <f>IF($A54="","",IF($M54="Inativo","Não",IF($N54="","Sim",IF(TODAY()-$N54&gt;180,"Sim","Não"))))</f>
        <v/>
      </c>
    </row>
    <row r="55">
      <c r="A55" s="6" t="inlineStr">
        <is>
          <t>pep-chacara</t>
        </is>
      </c>
      <c r="B55" s="3" t="inlineStr">
        <is>
          <t>UPA Chácara do Governador (PEP 24h)</t>
        </is>
      </c>
      <c r="C55" s="6" t="inlineStr">
        <is>
          <t>Saúde</t>
        </is>
      </c>
      <c r="D55" s="6" t="inlineStr">
        <is>
          <t>Goiânia</t>
        </is>
      </c>
      <c r="E55" s="6" t="inlineStr"/>
      <c r="F55" s="3" t="inlineStr">
        <is>
          <t>Rua DF-02, Lt. 14, esq. Rua DF-18</t>
        </is>
      </c>
      <c r="G55" s="6" t="inlineStr">
        <is>
          <t>(62) 3246-2705</t>
        </is>
      </c>
      <c r="H55" s="6" t="inlineStr"/>
      <c r="I55" s="6" t="inlineStr"/>
      <c r="J55" s="6" t="inlineStr"/>
      <c r="K55" s="3" t="inlineStr">
        <is>
          <t>PEP até 72h. Lista de 2024: confirme por telefone.</t>
        </is>
      </c>
      <c r="L55" s="3" t="inlineStr">
        <is>
          <t>Protótipo do app (ver aba Fontes)</t>
        </is>
      </c>
      <c r="M55" s="7" t="inlineStr">
        <is>
          <t>A conferir</t>
        </is>
      </c>
      <c r="N55" s="7" t="n"/>
      <c r="O55" s="7" t="n"/>
      <c r="P55" s="6">
        <f>IF($A55="","",IF($M55="Inativo","Não",IF($N55="","Sim",IF(TODAY()-$N55&gt;180,"Sim","Não"))))</f>
        <v/>
      </c>
    </row>
    <row r="56">
      <c r="A56" s="6" t="inlineStr">
        <is>
          <t>pep-goia</t>
        </is>
      </c>
      <c r="B56" s="3" t="inlineStr">
        <is>
          <t>CAIS Bairro Goiá (PEP 24h)</t>
        </is>
      </c>
      <c r="C56" s="6" t="inlineStr">
        <is>
          <t>Saúde</t>
        </is>
      </c>
      <c r="D56" s="6" t="inlineStr">
        <is>
          <t>Goiânia</t>
        </is>
      </c>
      <c r="E56" s="6" t="inlineStr"/>
      <c r="F56" s="3" t="inlineStr">
        <is>
          <t>Av. Santa Maria, s/n, Bairro Goiá</t>
        </is>
      </c>
      <c r="G56" s="6" t="inlineStr">
        <is>
          <t>(62) 3519-1781</t>
        </is>
      </c>
      <c r="H56" s="6" t="inlineStr"/>
      <c r="I56" s="6" t="inlineStr"/>
      <c r="J56" s="6" t="inlineStr"/>
      <c r="K56" s="3" t="inlineStr">
        <is>
          <t>PEP até 72h. Lista de 2024: confirme por telefone.</t>
        </is>
      </c>
      <c r="L56" s="3" t="inlineStr">
        <is>
          <t>Protótipo do app (ver aba Fontes)</t>
        </is>
      </c>
      <c r="M56" s="7" t="inlineStr">
        <is>
          <t>A conferir</t>
        </is>
      </c>
      <c r="N56" s="7" t="n"/>
      <c r="O56" s="7" t="n"/>
      <c r="P56" s="6">
        <f>IF($A56="","",IF($M56="Inativo","Não",IF($N56="","Sim",IF(TODAY()-$N56&gt;180,"Sim","Não"))))</f>
        <v/>
      </c>
    </row>
    <row r="57">
      <c r="A57" s="6" t="inlineStr">
        <is>
          <t>pep-campinas</t>
        </is>
      </c>
      <c r="B57" s="3" t="inlineStr">
        <is>
          <t>CAIS Campinas (PEP 24h)</t>
        </is>
      </c>
      <c r="C57" s="6" t="inlineStr">
        <is>
          <t>Saúde</t>
        </is>
      </c>
      <c r="D57" s="6" t="inlineStr">
        <is>
          <t>Goiânia</t>
        </is>
      </c>
      <c r="E57" s="6" t="inlineStr"/>
      <c r="F57" s="3" t="inlineStr">
        <is>
          <t>Rua P-16 c/ P-30, Campinas</t>
        </is>
      </c>
      <c r="G57" s="6" t="inlineStr">
        <is>
          <t>(62) 3524-1930</t>
        </is>
      </c>
      <c r="H57" s="6" t="inlineStr"/>
      <c r="I57" s="6" t="inlineStr"/>
      <c r="J57" s="6" t="inlineStr"/>
      <c r="K57" s="3" t="inlineStr">
        <is>
          <t>PEP até 72h. Lista de 2024: confirme por telefone.</t>
        </is>
      </c>
      <c r="L57" s="3" t="inlineStr">
        <is>
          <t>Protótipo do app (ver aba Fontes)</t>
        </is>
      </c>
      <c r="M57" s="7" t="inlineStr">
        <is>
          <t>A conferir</t>
        </is>
      </c>
      <c r="N57" s="7" t="n"/>
      <c r="O57" s="7" t="n"/>
      <c r="P57" s="6">
        <f>IF($A57="","",IF($M57="Inativo","Não",IF($N57="","Sim",IF(TODAY()-$N57&gt;180,"Sim","Não"))))</f>
        <v/>
      </c>
    </row>
    <row r="58">
      <c r="A58" s="6" t="inlineStr">
        <is>
          <t>pep-vilanova</t>
        </is>
      </c>
      <c r="B58" s="3" t="inlineStr">
        <is>
          <t>CAIS Vila Nova (PEP 24h)</t>
        </is>
      </c>
      <c r="C58" s="6" t="inlineStr">
        <is>
          <t>Saúde</t>
        </is>
      </c>
      <c r="D58" s="6" t="inlineStr">
        <is>
          <t>Goiânia</t>
        </is>
      </c>
      <c r="E58" s="6" t="inlineStr"/>
      <c r="F58" s="3" t="inlineStr">
        <is>
          <t>Rua B, 56, Vila Viana</t>
        </is>
      </c>
      <c r="G58" s="6" t="inlineStr">
        <is>
          <t>(62) 3524-1826</t>
        </is>
      </c>
      <c r="H58" s="6" t="inlineStr"/>
      <c r="I58" s="6" t="inlineStr"/>
      <c r="J58" s="6" t="inlineStr"/>
      <c r="K58" s="3" t="inlineStr">
        <is>
          <t>PEP até 72h. Lista de 2024: confirme por telefone.</t>
        </is>
      </c>
      <c r="L58" s="3" t="inlineStr">
        <is>
          <t>Protótipo do app (ver aba Fontes)</t>
        </is>
      </c>
      <c r="M58" s="7" t="inlineStr">
        <is>
          <t>A conferir</t>
        </is>
      </c>
      <c r="N58" s="7" t="n"/>
      <c r="O58" s="7" t="n"/>
      <c r="P58" s="6">
        <f>IF($A58="","",IF($M58="Inativo","Não",IF($N58="","Sim",IF(TODAY()-$N58&gt;180,"Sim","Não"))))</f>
        <v/>
      </c>
    </row>
    <row r="59">
      <c r="A59" s="6" t="inlineStr">
        <is>
          <t>fp</t>
        </is>
      </c>
      <c r="B59" s="3" t="inlineStr">
        <is>
          <t>Farmácia Popular (farmácias credenciadas)</t>
        </is>
      </c>
      <c r="C59" s="6" t="inlineStr">
        <is>
          <t>Saúde</t>
        </is>
      </c>
      <c r="D59" s="6" t="inlineStr">
        <is>
          <t>Nacional</t>
        </is>
      </c>
      <c r="E59" s="6" t="inlineStr"/>
      <c r="F59" s="3" t="inlineStr"/>
      <c r="G59" s="6" t="inlineStr"/>
      <c r="H59" s="6" t="inlineStr"/>
      <c r="I59" s="6" t="inlineStr"/>
      <c r="J59" s="6" t="inlineStr">
        <is>
          <t>https://www.gov.br/saude/pt-br/composicao/sectics/farmacia-popular</t>
        </is>
      </c>
      <c r="K59" s="3" t="inlineStr">
        <is>
          <t>Procure o selo "Aqui Tem Farmácia Popular". O endereço das credenciadas está no painel do gov.br. Os mesmos medicamentos também saem de graça nas UBS.</t>
        </is>
      </c>
      <c r="L59" s="3" t="inlineStr">
        <is>
          <t>Protótipo do app (ver aba Fontes)</t>
        </is>
      </c>
      <c r="M59" s="7" t="inlineStr">
        <is>
          <t>Ativo</t>
        </is>
      </c>
      <c r="N59" s="7" t="n"/>
      <c r="O59" s="7" t="n"/>
      <c r="P59" s="6">
        <f>IF($A59="","",IF($M59="Inativo","Não",IF($N59="","Sim",IF(TODAY()-$N59&gt;180,"Sim","Não"))))</f>
        <v/>
      </c>
    </row>
    <row r="60">
      <c r="A60" s="6" t="inlineStr">
        <is>
          <t>136</t>
        </is>
      </c>
      <c r="B60" s="3" t="inlineStr">
        <is>
          <t>Disque Saúde 136, Ouvidoria do SUS</t>
        </is>
      </c>
      <c r="C60" s="6" t="inlineStr">
        <is>
          <t>Nacional</t>
        </is>
      </c>
      <c r="D60" s="6" t="inlineStr">
        <is>
          <t>Nacional</t>
        </is>
      </c>
      <c r="E60" s="6" t="inlineStr"/>
      <c r="F60" s="3" t="inlineStr"/>
      <c r="G60" s="6" t="inlineStr">
        <is>
          <t>136</t>
        </is>
      </c>
      <c r="H60" s="6" t="inlineStr"/>
      <c r="I60" s="6" t="inlineStr"/>
      <c r="J60" s="6" t="inlineStr"/>
      <c r="K60" s="3" t="inlineStr">
        <is>
          <t>Informações sobre SUS, Farmácia Popular e reclamações.</t>
        </is>
      </c>
      <c r="L60" s="3" t="inlineStr">
        <is>
          <t>Protótipo do app (ver aba Fontes)</t>
        </is>
      </c>
      <c r="M60" s="7" t="inlineStr">
        <is>
          <t>Ativo</t>
        </is>
      </c>
      <c r="N60" s="7" t="n"/>
      <c r="O60" s="7" t="n"/>
      <c r="P60" s="6">
        <f>IF($A60="","",IF($M60="Inativo","Não",IF($N60="","Sim",IF(TODAY()-$N60&gt;180,"Sim","Não"))))</f>
        <v/>
      </c>
    </row>
    <row r="61">
      <c r="A61" s="6" t="inlineStr">
        <is>
          <t>reggyn</t>
        </is>
      </c>
      <c r="B61" s="3" t="inlineStr">
        <is>
          <t>Regulação da Saúde de Goiânia</t>
        </is>
      </c>
      <c r="C61" s="6" t="inlineStr">
        <is>
          <t>Saúde</t>
        </is>
      </c>
      <c r="D61" s="6" t="inlineStr">
        <is>
          <t>Goiânia</t>
        </is>
      </c>
      <c r="E61" s="6" t="inlineStr"/>
      <c r="F61" s="3" t="inlineStr"/>
      <c r="G61" s="6" t="inlineStr">
        <is>
          <t>(62) 3524-1580 / (62) 3524-1616</t>
        </is>
      </c>
      <c r="H61" s="6" t="inlineStr"/>
      <c r="I61" s="6" t="inlineStr"/>
      <c r="J61" s="6" t="inlineStr"/>
      <c r="K61" s="3" t="inlineStr">
        <is>
          <t>Consultas especializadas e exames encaminhados pela UBS.</t>
        </is>
      </c>
      <c r="L61" s="3" t="inlineStr">
        <is>
          <t>Protótipo do app (ver aba Fontes)</t>
        </is>
      </c>
      <c r="M61" s="7" t="inlineStr">
        <is>
          <t>Ativo</t>
        </is>
      </c>
      <c r="N61" s="7" t="n"/>
      <c r="O61" s="7" t="n"/>
      <c r="P61" s="6">
        <f>IF($A61="","",IF($M61="Inativo","Não",IF($N61="","Sim",IF(TODAY()-$N61&gt;180,"Sim","Não"))))</f>
        <v/>
      </c>
    </row>
    <row r="62">
      <c r="A62" s="6" t="inlineStr">
        <is>
          <t>dpe</t>
        </is>
      </c>
      <c r="B62" s="3" t="inlineStr">
        <is>
          <t>Defensoria Pública de Goiás, sede</t>
        </is>
      </c>
      <c r="C62" s="6" t="inlineStr">
        <is>
          <t>Justiça e direitos</t>
        </is>
      </c>
      <c r="D62" s="6" t="inlineStr">
        <is>
          <t>Goiânia</t>
        </is>
      </c>
      <c r="E62" s="6" t="inlineStr"/>
      <c r="F62" s="3" t="inlineStr">
        <is>
          <t>Alameda Cel. Joaquim de Bastos, nº 282, Qd. 217, Lt. 14, Setor Marista, Goiânia</t>
        </is>
      </c>
      <c r="G62" s="6" t="inlineStr">
        <is>
          <t>Central (62) 3602-1224</t>
        </is>
      </c>
      <c r="H62" s="6" t="inlineStr"/>
      <c r="I62" s="6" t="inlineStr">
        <is>
          <t>Seg a sex, 8h às 18h</t>
        </is>
      </c>
      <c r="J62" s="6" t="inlineStr">
        <is>
          <t>https://www2.defensoria.go.def.br/unidades-de-atendimento</t>
        </is>
      </c>
      <c r="K62" s="3" t="inlineStr">
        <is>
          <t>Família, moradia, documentos, benefício negado, medida protetiva. Lista de documentos no site.</t>
        </is>
      </c>
      <c r="L62" s="3" t="inlineStr">
        <is>
          <t>Protótipo do app (ver aba Fontes)</t>
        </is>
      </c>
      <c r="M62" s="7" t="inlineStr">
        <is>
          <t>Ativo</t>
        </is>
      </c>
      <c r="N62" s="7" t="n"/>
      <c r="O62" s="7" t="n"/>
      <c r="P62" s="6">
        <f>IF($A62="","",IF($M62="Inativo","Não",IF($N62="","Sim",IF(TODAY()-$N62&gt;180,"Sim","Não"))))</f>
        <v/>
      </c>
    </row>
    <row r="63">
      <c r="A63" s="6" t="inlineStr">
        <is>
          <t>mpgo</t>
        </is>
      </c>
      <c r="B63" s="3" t="inlineStr">
        <is>
          <t>MPGO, Ministério Público de Goiás, sede e atendimento ao cidadão</t>
        </is>
      </c>
      <c r="C63" s="6" t="inlineStr">
        <is>
          <t>Ministério Público</t>
        </is>
      </c>
      <c r="D63" s="6" t="inlineStr">
        <is>
          <t>Estado</t>
        </is>
      </c>
      <c r="E63" s="6" t="inlineStr"/>
      <c r="F63" s="3" t="inlineStr">
        <is>
          <t>Rua 23 esq. c/ Av. Fued José Sebba, Qd. A-06, Lts. 15/24, Jardim Goiás, Goiânia, CEP 74805-100</t>
        </is>
      </c>
      <c r="G63" s="6" t="inlineStr">
        <is>
          <t>(62) 3243-8000</t>
        </is>
      </c>
      <c r="H63" s="6" t="inlineStr"/>
      <c r="I63" s="6" t="inlineStr"/>
      <c r="J63" s="6" t="inlineStr">
        <is>
          <t>https://www.mpgo.mp.br/portal/pagina/atendimento-ao-cidadao</t>
        </is>
      </c>
      <c r="K63" s="3" t="inlineStr">
        <is>
          <t>Representação contra omissão do poder público, defesa coletiva de criança, idoso, PcD, saúde, educação, consumidor e vítimas de violência. Pode ser feita online ou na promotoria da comarca onde a pessoa mora.</t>
        </is>
      </c>
      <c r="L63" s="3" t="inlineStr">
        <is>
          <t>Protótipo do app (ver aba Fontes)</t>
        </is>
      </c>
      <c r="M63" s="7" t="inlineStr">
        <is>
          <t>Ativo</t>
        </is>
      </c>
      <c r="N63" s="7" t="n"/>
      <c r="O63" s="7" t="n"/>
      <c r="P63" s="6">
        <f>IF($A63="","",IF($M63="Inativo","Não",IF($N63="","Sim",IF(TODAY()-$N63&gt;180,"Sim","Não"))))</f>
        <v/>
      </c>
    </row>
    <row r="64">
      <c r="A64" s="6" t="inlineStr">
        <is>
          <t>mpgo-dh</t>
        </is>
      </c>
      <c r="B64" s="3" t="inlineStr">
        <is>
          <t>MPGO, Centro de Apoio de Políticas Públicas e Direitos Humanos (CAO DH)</t>
        </is>
      </c>
      <c r="C64" s="6" t="inlineStr">
        <is>
          <t>Ministério Público</t>
        </is>
      </c>
      <c r="D64" s="6" t="inlineStr">
        <is>
          <t>Estado</t>
        </is>
      </c>
      <c r="E64" s="6" t="inlineStr"/>
      <c r="F64" s="3" t="inlineStr">
        <is>
          <t>Edifício-sede do MPGO, Sala T-10, térreo, Ala A, Goiânia</t>
        </is>
      </c>
      <c r="G64" s="6" t="inlineStr">
        <is>
          <t>(62) 3243-8203 / (62) 3243-8711 / (62) 3243-8347 / Plantão (62) 92002-7158</t>
        </is>
      </c>
      <c r="H64" s="6" t="inlineStr">
        <is>
          <t>caodh@mpgo.mp.br</t>
        </is>
      </c>
      <c r="I64" s="6" t="inlineStr"/>
      <c r="J64" s="6" t="inlineStr"/>
      <c r="K64" s="3" t="inlineStr">
        <is>
          <t>Apoia as promotorias em direitos humanos, população de rua, idoso, PcD e vítimas e testemunhas ameaçadas.</t>
        </is>
      </c>
      <c r="L64" s="3" t="inlineStr">
        <is>
          <t>Protótipo do app (ver aba Fontes)</t>
        </is>
      </c>
      <c r="M64" s="7" t="inlineStr">
        <is>
          <t>Ativo</t>
        </is>
      </c>
      <c r="N64" s="7" t="n"/>
      <c r="O64" s="7" t="n"/>
      <c r="P64" s="6">
        <f>IF($A64="","",IF($M64="Inativo","Não",IF($N64="","Sim",IF(TODAY()-$N64&gt;180,"Sim","Não"))))</f>
        <v/>
      </c>
    </row>
    <row r="65">
      <c r="A65" s="6" t="inlineStr">
        <is>
          <t>mpgo-gen</t>
        </is>
      </c>
      <c r="B65" s="3" t="inlineStr">
        <is>
          <t>MPGO, Núcleo Estadual de Gênero</t>
        </is>
      </c>
      <c r="C65" s="6" t="inlineStr">
        <is>
          <t>Ministério Público</t>
        </is>
      </c>
      <c r="D65" s="6" t="inlineStr">
        <is>
          <t>Estado</t>
        </is>
      </c>
      <c r="E65" s="6" t="inlineStr"/>
      <c r="F65" s="3" t="inlineStr"/>
      <c r="G65" s="6" t="inlineStr">
        <is>
          <t>(62) 3243-8665</t>
        </is>
      </c>
      <c r="H65" s="6" t="inlineStr"/>
      <c r="I65" s="6" t="inlineStr"/>
      <c r="J65" s="6" t="inlineStr"/>
      <c r="K65" s="3" t="inlineStr">
        <is>
          <t>Atua na violência contra a mulher e acompanha medidas protetivas. Fonte: cartilha OAB-GO, março de 2026.</t>
        </is>
      </c>
      <c r="L65" s="3" t="inlineStr">
        <is>
          <t>cartilha OAB-GO, março de 2026</t>
        </is>
      </c>
      <c r="M65" s="7" t="inlineStr">
        <is>
          <t>Ativo</t>
        </is>
      </c>
      <c r="N65" s="7" t="n"/>
      <c r="O65" s="7" t="n"/>
      <c r="P65" s="6">
        <f>IF($A65="","",IF($M65="Inativo","Não",IF($N65="","Sim",IF(TODAY()-$N65&gt;180,"Sim","Não"))))</f>
        <v/>
      </c>
    </row>
    <row r="66">
      <c r="A66" s="6" t="inlineStr">
        <is>
          <t>mpf</t>
        </is>
      </c>
      <c r="B66" s="3" t="inlineStr">
        <is>
          <t>MPF, Procuradoria da República em Goiás</t>
        </is>
      </c>
      <c r="C66" s="6" t="inlineStr">
        <is>
          <t>Ministério Público</t>
        </is>
      </c>
      <c r="D66" s="6" t="inlineStr">
        <is>
          <t>Estado</t>
        </is>
      </c>
      <c r="E66" s="6" t="inlineStr"/>
      <c r="F66" s="3" t="inlineStr">
        <is>
          <t>Av. Olinda, nº 500, Qd. G, Lt. 2, Ed. Rosângela Pofahl Batista, Park Lozandes, Goiânia, CEP 74884-120</t>
        </is>
      </c>
      <c r="G66" s="6" t="inlineStr">
        <is>
          <t>(62) 3243-5400 / WhatsApp (62) 99513-3507 (seg a sex, 10h às 17h)</t>
        </is>
      </c>
      <c r="H66" s="6" t="inlineStr"/>
      <c r="I66" s="6" t="inlineStr"/>
      <c r="J66" s="6" t="inlineStr">
        <is>
          <t>https://www.mpf.mp.br/servicos</t>
        </is>
      </c>
      <c r="K66" s="3" t="inlineStr">
        <is>
          <t>Assuntos federais: INSS e BPC, programas federais, universidades e hospitais federais, indígenas e quilombolas, verba federal do SUS.</t>
        </is>
      </c>
      <c r="L66" s="3" t="inlineStr">
        <is>
          <t>Protótipo do app (ver aba Fontes)</t>
        </is>
      </c>
      <c r="M66" s="7" t="inlineStr">
        <is>
          <t>Ativo</t>
        </is>
      </c>
      <c r="N66" s="7" t="n"/>
      <c r="O66" s="7" t="n"/>
      <c r="P66" s="6">
        <f>IF($A66="","",IF($M66="Inativo","Não",IF($N66="","Sim",IF(TODAY()-$N66&gt;180,"Sim","Não"))))</f>
        <v/>
      </c>
    </row>
    <row r="67">
      <c r="A67" s="6" t="inlineStr">
        <is>
          <t>mpt</t>
        </is>
      </c>
      <c r="B67" s="3" t="inlineStr">
        <is>
          <t>MPT, Ministério Público do Trabalho (Goiás)</t>
        </is>
      </c>
      <c r="C67" s="6" t="inlineStr">
        <is>
          <t>Ministério Público</t>
        </is>
      </c>
      <c r="D67" s="6" t="inlineStr">
        <is>
          <t>Nacional</t>
        </is>
      </c>
      <c r="E67" s="6" t="inlineStr"/>
      <c r="F67" s="3" t="inlineStr"/>
      <c r="G67" s="6" t="inlineStr"/>
      <c r="H67" s="6" t="inlineStr"/>
      <c r="I67" s="6" t="inlineStr"/>
      <c r="J67" s="6" t="inlineStr">
        <is>
          <t>https://mpt.mp.br</t>
        </is>
      </c>
      <c r="K67" s="3" t="inlineStr">
        <is>
          <t>Trabalho infantil, trabalho escravo, assédio, discriminação no emprego (inclusive por HIV ou deficiência), falta de acessibilidade. Denúncia online pelo site, com sigilo.</t>
        </is>
      </c>
      <c r="L67" s="3" t="inlineStr">
        <is>
          <t>Protótipo do app (ver aba Fontes)</t>
        </is>
      </c>
      <c r="M67" s="7" t="inlineStr">
        <is>
          <t>Ativo</t>
        </is>
      </c>
      <c r="N67" s="7" t="n"/>
      <c r="O67" s="7" t="n"/>
      <c r="P67" s="6">
        <f>IF($A67="","",IF($M67="Inativo","Não",IF($N67="","Sim",IF(TODAY()-$N67&gt;180,"Sim","Não"))))</f>
        <v/>
      </c>
    </row>
    <row r="68">
      <c r="A68" s="6" t="inlineStr">
        <is>
          <t>provita</t>
        </is>
      </c>
      <c r="B68" s="3" t="inlineStr">
        <is>
          <t>Provita/GO e SEPDE, proteção a vítimas e testemunhas ameaçadas</t>
        </is>
      </c>
      <c r="C68" s="6" t="inlineStr">
        <is>
          <t>Ministério Público</t>
        </is>
      </c>
      <c r="D68" s="6" t="inlineStr">
        <is>
          <t>Estado</t>
        </is>
      </c>
      <c r="E68" s="6" t="inlineStr"/>
      <c r="F68" s="3" t="inlineStr">
        <is>
          <t>Av. Anhanguera, 7364, Aeroviário, Goiânia, CEP 74435-300</t>
        </is>
      </c>
      <c r="G68" s="6" t="inlineStr">
        <is>
          <t>(62) 3201-1069 / (62) 3201-1068</t>
        </is>
      </c>
      <c r="H68" s="6" t="inlineStr"/>
      <c r="I68" s="6" t="inlineStr"/>
      <c r="J68" s="6" t="inlineStr"/>
      <c r="K68" s="3" t="inlineStr">
        <is>
          <t>Inclusão depende de pedido da autoridade (MP, polícia, juiz). Acione pelo promotor do caso.</t>
        </is>
      </c>
      <c r="L68" s="3" t="inlineStr">
        <is>
          <t>Protótipo do app (ver aba Fontes)</t>
        </is>
      </c>
      <c r="M68" s="7" t="inlineStr">
        <is>
          <t>Ativo</t>
        </is>
      </c>
      <c r="N68" s="7" t="n"/>
      <c r="O68" s="7" t="n"/>
      <c r="P68" s="6">
        <f>IF($A68="","",IF($M68="Inativo","Não",IF($N68="","Sim",IF(TODAY()-$N68&gt;180,"Sim","Não"))))</f>
        <v/>
      </c>
    </row>
    <row r="69">
      <c r="A69" s="6" t="inlineStr">
        <is>
          <t>dpeap</t>
        </is>
      </c>
      <c r="B69" s="3" t="inlineStr">
        <is>
          <t>Defensoria Pública, unidade Aparecida de Goiânia</t>
        </is>
      </c>
      <c r="C69" s="6" t="inlineStr">
        <is>
          <t>Justiça e direitos</t>
        </is>
      </c>
      <c r="D69" s="6" t="inlineStr">
        <is>
          <t>Aparecida de Goiânia</t>
        </is>
      </c>
      <c r="E69" s="6" t="inlineStr"/>
      <c r="F69" s="3" t="inlineStr"/>
      <c r="G69" s="6" t="inlineStr">
        <is>
          <t>(62) 3157-1001</t>
        </is>
      </c>
      <c r="H69" s="6" t="inlineStr"/>
      <c r="I69" s="6" t="inlineStr"/>
      <c r="J69" s="6" t="inlineStr"/>
      <c r="K69" s="3" t="inlineStr"/>
      <c r="L69" s="3" t="inlineStr">
        <is>
          <t>Protótipo do app (ver aba Fontes)</t>
        </is>
      </c>
      <c r="M69" s="7" t="inlineStr">
        <is>
          <t>Ativo</t>
        </is>
      </c>
      <c r="N69" s="7" t="n"/>
      <c r="O69" s="7" t="n"/>
      <c r="P69" s="6">
        <f>IF($A69="","",IF($M69="Inativo","Não",IF($N69="","Sim",IF(TODAY()-$N69&gt;180,"Sim","Não"))))</f>
        <v/>
      </c>
    </row>
    <row r="70">
      <c r="A70" s="6" t="inlineStr">
        <is>
          <t>puc-npj</t>
        </is>
      </c>
      <c r="B70" s="3" t="inlineStr">
        <is>
          <t>NPJ PUC Goiás, Núcleo de Prática Jurídica</t>
        </is>
      </c>
      <c r="C70" s="6" t="inlineStr">
        <is>
          <t>Rede comunitária e gratuita</t>
        </is>
      </c>
      <c r="D70" s="6" t="inlineStr">
        <is>
          <t>Goiânia</t>
        </is>
      </c>
      <c r="E70" s="6" t="inlineStr"/>
      <c r="F70" s="3" t="inlineStr">
        <is>
          <t>Câmpus V, Jardim Goiás, Goiânia</t>
        </is>
      </c>
      <c r="G70" s="6" t="inlineStr">
        <is>
          <t>(62) 3946-3008 / (62) 3946-3009</t>
        </is>
      </c>
      <c r="H70" s="6" t="inlineStr">
        <is>
          <t>npj@pucgoias.edu.br</t>
        </is>
      </c>
      <c r="I70" s="6" t="inlineStr"/>
      <c r="J70" s="6" t="inlineStr"/>
      <c r="K70" s="3" t="inlineStr">
        <is>
          <t>Escritório-modelo: atendimento jurídico gratuito para quem não pode pagar. Alternativa à Defensoria. Fonte: PUC Goiás, 2023.</t>
        </is>
      </c>
      <c r="L70" s="3" t="inlineStr">
        <is>
          <t>PUC Goiás, 2023</t>
        </is>
      </c>
      <c r="M70" s="7" t="inlineStr">
        <is>
          <t>Ativo</t>
        </is>
      </c>
      <c r="N70" s="7" t="n"/>
      <c r="O70" s="7" t="n"/>
      <c r="P70" s="6">
        <f>IF($A70="","",IF($M70="Inativo","Não",IF($N70="","Sim",IF(TODAY()-$N70&gt;180,"Sim","Não"))))</f>
        <v/>
      </c>
    </row>
    <row r="71">
      <c r="A71" s="6" t="inlineStr">
        <is>
          <t>puc-cepsi</t>
        </is>
      </c>
      <c r="B71" s="3" t="inlineStr">
        <is>
          <t>CEPSI PUC Goiás, clínica-escola de psicologia</t>
        </is>
      </c>
      <c r="C71" s="6" t="inlineStr">
        <is>
          <t>Rede comunitária e gratuita</t>
        </is>
      </c>
      <c r="D71" s="6" t="inlineStr">
        <is>
          <t>Goiânia</t>
        </is>
      </c>
      <c r="E71" s="6" t="inlineStr"/>
      <c r="F71" s="3" t="inlineStr">
        <is>
          <t>Rua 232, Área 5, Setor Leste Universitário, Goiânia</t>
        </is>
      </c>
      <c r="G71" s="6" t="inlineStr">
        <is>
          <t>(62) 3946-1198</t>
        </is>
      </c>
      <c r="H71" s="6" t="inlineStr"/>
      <c r="I71" s="6" t="inlineStr"/>
      <c r="J71" s="6" t="inlineStr">
        <is>
          <t>https://www.pucgoias.edu.br</t>
        </is>
      </c>
      <c r="K71" s="3" t="inlineStr">
        <is>
          <t>Atendimento psicológico gratuito para todas as idades. Inscrições no início de cada semestre pelo site.</t>
        </is>
      </c>
      <c r="L71" s="3" t="inlineStr">
        <is>
          <t>Protótipo do app (ver aba Fontes)</t>
        </is>
      </c>
      <c r="M71" s="7" t="inlineStr">
        <is>
          <t>Ativo</t>
        </is>
      </c>
      <c r="N71" s="7" t="n"/>
      <c r="O71" s="7" t="n"/>
      <c r="P71" s="6">
        <f>IF($A71="","",IF($M71="Inativo","Não",IF($N71="","Sim",IF(TODAY()-$N71&gt;180,"Sim","Não"))))</f>
        <v/>
      </c>
    </row>
    <row r="72">
      <c r="A72" s="6" t="inlineStr">
        <is>
          <t>ufg-psi</t>
        </is>
      </c>
      <c r="B72" s="3" t="inlineStr">
        <is>
          <t>Centro de Psicologia da Faculdade de Educação, UFG</t>
        </is>
      </c>
      <c r="C72" s="6" t="inlineStr">
        <is>
          <t>Rede comunitária e gratuita</t>
        </is>
      </c>
      <c r="D72" s="6" t="inlineStr">
        <is>
          <t>Goiânia</t>
        </is>
      </c>
      <c r="E72" s="6" t="inlineStr"/>
      <c r="F72" s="3" t="inlineStr">
        <is>
          <t>Rua 235, nº 575, Setor Leste Universitário, Goiânia, CEP 74605-050</t>
        </is>
      </c>
      <c r="G72" s="6" t="inlineStr"/>
      <c r="H72" s="6" t="inlineStr"/>
      <c r="I72" s="6" t="inlineStr"/>
      <c r="J72" s="6" t="inlineStr"/>
      <c r="K72" s="3" t="inlineStr">
        <is>
          <t>Psicoterapia gratuita, prioridade para baixa renda. Adultos e crianças de 5 a 11 anos. Inscrição presencial em períodos divulgados pela UFG (última em abril de 2025).</t>
        </is>
      </c>
      <c r="L72" s="3" t="inlineStr">
        <is>
          <t>Protótipo do app (ver aba Fontes)</t>
        </is>
      </c>
      <c r="M72" s="7" t="inlineStr">
        <is>
          <t>Ativo</t>
        </is>
      </c>
      <c r="N72" s="7" t="n"/>
      <c r="O72" s="7" t="n"/>
      <c r="P72" s="6">
        <f>IF($A72="","",IF($M72="Inativo","Não",IF($N72="","Sim",IF(TODAY()-$N72&gt;180,"Sim","Não"))))</f>
        <v/>
      </c>
    </row>
    <row r="73">
      <c r="A73" s="6" t="inlineStr">
        <is>
          <t>puc-vida</t>
        </is>
      </c>
      <c r="B73" s="3" t="inlineStr">
        <is>
          <t>Clínica Escola Vida, PUC Goiás</t>
        </is>
      </c>
      <c r="C73" s="6" t="inlineStr">
        <is>
          <t>Rede comunitária e gratuita</t>
        </is>
      </c>
      <c r="D73" s="6" t="inlineStr">
        <is>
          <t>Goiânia</t>
        </is>
      </c>
      <c r="E73" s="6" t="inlineStr"/>
      <c r="F73" s="3" t="inlineStr">
        <is>
          <t>Rua Colônia, Jardim Novo Mundo, Goiânia</t>
        </is>
      </c>
      <c r="G73" s="6" t="inlineStr">
        <is>
          <t>(62) 3946-1808</t>
        </is>
      </c>
      <c r="H73" s="6" t="inlineStr"/>
      <c r="I73" s="6" t="inlineStr"/>
      <c r="J73" s="6" t="inlineStr"/>
      <c r="K73" s="3" t="inlineStr">
        <is>
          <t>Clínica-escola de saúde que atende pessoas encaminhadas pelo SUS. Pedir o encaminhamento na UBS.</t>
        </is>
      </c>
      <c r="L73" s="3" t="inlineStr">
        <is>
          <t>Protótipo do app (ver aba Fontes)</t>
        </is>
      </c>
      <c r="M73" s="7" t="inlineStr">
        <is>
          <t>Ativo</t>
        </is>
      </c>
      <c r="N73" s="7" t="n"/>
      <c r="O73" s="7" t="n"/>
      <c r="P73" s="6">
        <f>IF($A73="","",IF($M73="Inativo","Não",IF($N73="","Sim",IF(TODAY()-$N73&gt;180,"Sim","Não"))))</f>
        <v/>
      </c>
    </row>
    <row r="74">
      <c r="A74" s="6" t="inlineStr">
        <is>
          <t>puc-cresa</t>
        </is>
      </c>
      <c r="B74" s="3" t="inlineStr">
        <is>
          <t>CRESA PUC Goiás, saúde auditiva</t>
        </is>
      </c>
      <c r="C74" s="6" t="inlineStr">
        <is>
          <t>Rede comunitária e gratuita</t>
        </is>
      </c>
      <c r="D74" s="6" t="inlineStr">
        <is>
          <t>Goiânia</t>
        </is>
      </c>
      <c r="E74" s="6" t="inlineStr"/>
      <c r="F74" s="3" t="inlineStr">
        <is>
          <t>Área 5, Rua 232, Setor Leste Universitário, Goiânia</t>
        </is>
      </c>
      <c r="G74" s="6" t="inlineStr">
        <is>
          <t>(62) 3946-1419</t>
        </is>
      </c>
      <c r="H74" s="6" t="inlineStr"/>
      <c r="I74" s="6" t="inlineStr"/>
      <c r="J74" s="6" t="inlineStr"/>
      <c r="K74" s="3" t="inlineStr">
        <is>
          <t>Saúde auditiva em parceria com o SUS (avaliação e aparelhos). Acesso por encaminhamento da UBS.</t>
        </is>
      </c>
      <c r="L74" s="3" t="inlineStr">
        <is>
          <t>Protótipo do app (ver aba Fontes)</t>
        </is>
      </c>
      <c r="M74" s="7" t="inlineStr">
        <is>
          <t>Ativo</t>
        </is>
      </c>
      <c r="N74" s="7" t="n"/>
      <c r="O74" s="7" t="n"/>
      <c r="P74" s="6">
        <f>IF($A74="","",IF($M74="Inativo","Não",IF($N74="","Sim",IF(TODAY()-$N74&gt;180,"Sim","Não"))))</f>
        <v/>
      </c>
    </row>
    <row r="75">
      <c r="A75" s="6" t="inlineStr">
        <is>
          <t>puc-cecom</t>
        </is>
      </c>
      <c r="B75" s="3" t="inlineStr">
        <is>
          <t>Cecom e Escola de Circo Dom Fernando, PUC Goiás</t>
        </is>
      </c>
      <c r="C75" s="6" t="inlineStr">
        <is>
          <t>Rede comunitária e gratuita</t>
        </is>
      </c>
      <c r="D75" s="6" t="inlineStr">
        <is>
          <t>Goiânia</t>
        </is>
      </c>
      <c r="E75" s="6" t="inlineStr"/>
      <c r="F75" s="3" t="inlineStr">
        <is>
          <t>Rua 15, Setor Santos Dumont, Goiânia</t>
        </is>
      </c>
      <c r="G75" s="6" t="inlineStr">
        <is>
          <t>(62) 3299-7753</t>
        </is>
      </c>
      <c r="H75" s="6" t="inlineStr"/>
      <c r="I75" s="6" t="inlineStr"/>
      <c r="J75" s="6" t="inlineStr"/>
      <c r="K75" s="3" t="inlineStr">
        <is>
          <t>Extensão comunitária nas regiões Mendanha e Noroeste: circo, formação de jovens de 14 a 29 anos.</t>
        </is>
      </c>
      <c r="L75" s="3" t="inlineStr">
        <is>
          <t>Protótipo do app (ver aba Fontes)</t>
        </is>
      </c>
      <c r="M75" s="7" t="inlineStr">
        <is>
          <t>Ativo</t>
        </is>
      </c>
      <c r="N75" s="7" t="n"/>
      <c r="O75" s="7" t="n"/>
      <c r="P75" s="6">
        <f>IF($A75="","",IF($M75="Inativo","Não",IF($N75="","Sim",IF(TODAY()-$N75&gt;180,"Sim","Não"))))</f>
        <v/>
      </c>
    </row>
    <row r="76">
      <c r="A76" s="6" t="inlineStr">
        <is>
          <t>ceapsol</t>
        </is>
      </c>
      <c r="B76" s="3" t="inlineStr">
        <is>
          <t>Ceap-SOL, Casa de Apoio Condomínio Solidariedade</t>
        </is>
      </c>
      <c r="C76" s="6" t="inlineStr">
        <is>
          <t>Rede comunitária e gratuita</t>
        </is>
      </c>
      <c r="D76" s="6" t="inlineStr">
        <is>
          <t>Goiânia</t>
        </is>
      </c>
      <c r="E76" s="6" t="inlineStr"/>
      <c r="F76" s="3" t="inlineStr">
        <is>
          <t>Av. Veneza, Qd. 62, Lt. 1/10, s/n, Jardim Europa, Goiânia, CEP 74325-100</t>
        </is>
      </c>
      <c r="G76" s="6" t="inlineStr">
        <is>
          <t>Recepção (62) 3201-9288 / Hospedagem/WhatsApp (62) 3201-9283</t>
        </is>
      </c>
      <c r="H76" s="6" t="inlineStr"/>
      <c r="I76" s="6" t="inlineStr">
        <is>
          <t>Serviço Social seg a sex, 7h às 18h</t>
        </is>
      </c>
      <c r="J76" s="6" t="inlineStr"/>
      <c r="K76" s="3" t="inlineStr">
        <is>
          <t>Unidade estadual. Hospedagem gratuita, alimentação e transporte para consultas de pessoas vivendo com HIV, principalmente do interior. Pedir com antecedência.</t>
        </is>
      </c>
      <c r="L76" s="3" t="inlineStr">
        <is>
          <t>Protótipo do app (ver aba Fontes)</t>
        </is>
      </c>
      <c r="M76" s="7" t="inlineStr">
        <is>
          <t>Ativo</t>
        </is>
      </c>
      <c r="N76" s="7" t="n"/>
      <c r="O76" s="7" t="n"/>
      <c r="P76" s="6">
        <f>IF($A76="","",IF($M76="Inativo","Não",IF($N76="","Sim",IF(TODAY()-$N76&gt;180,"Sim","Não"))))</f>
        <v/>
      </c>
    </row>
    <row r="77">
      <c r="A77" s="6" t="inlineStr">
        <is>
          <t>cevam</t>
        </is>
      </c>
      <c r="B77" s="3" t="inlineStr">
        <is>
          <t>CEVAM, Centro de Valorização da Mulher Consuelo Nasser</t>
        </is>
      </c>
      <c r="C77" s="6" t="inlineStr">
        <is>
          <t>Rede comunitária e gratuita</t>
        </is>
      </c>
      <c r="D77" s="6" t="inlineStr">
        <is>
          <t>Goiânia</t>
        </is>
      </c>
      <c r="E77" s="6" t="inlineStr"/>
      <c r="F77" s="3" t="inlineStr"/>
      <c r="G77" s="6" t="inlineStr">
        <is>
          <t>(62) 99144-5948</t>
        </is>
      </c>
      <c r="H77" s="6" t="inlineStr"/>
      <c r="I77" s="6" t="inlineStr"/>
      <c r="J77" s="6" t="inlineStr"/>
      <c r="K77" s="3" t="inlineStr">
        <is>
          <t>Entidade filantrópica que acolhe mulheres em situação de violência com seus filhos e distribui cestas a famílias. Endereço não divulgado por segurança. O acolhimento é articulado pela rede (DEAEM, Cora Coralina, CREAS).</t>
        </is>
      </c>
      <c r="L77" s="3" t="inlineStr">
        <is>
          <t>Protótipo do app (ver aba Fontes)</t>
        </is>
      </c>
      <c r="M77" s="7" t="inlineStr">
        <is>
          <t>Ativo</t>
        </is>
      </c>
      <c r="N77" s="7" t="n"/>
      <c r="O77" s="7" t="n"/>
      <c r="P77" s="6">
        <f>IF($A77="","",IF($M77="Inativo","Não",IF($N77="","Sim",IF(TODAY()-$N77&gt;180,"Sim","Não"))))</f>
        <v/>
      </c>
    </row>
    <row r="78">
      <c r="A78" s="6" t="inlineStr">
        <is>
          <t>deaem</t>
        </is>
      </c>
      <c r="B78" s="3" t="inlineStr">
        <is>
          <t>DEAEM, Delegacia Estadual de Atendimento Especializado à Mulher</t>
        </is>
      </c>
      <c r="C78" s="6" t="inlineStr">
        <is>
          <t>Mulher</t>
        </is>
      </c>
      <c r="D78" s="6" t="inlineStr">
        <is>
          <t>Goiânia</t>
        </is>
      </c>
      <c r="E78" s="6" t="inlineStr"/>
      <c r="F78" s="3" t="inlineStr">
        <is>
          <t>Rua 24, nº 203, Qd. 49, Lt. 27, Centro, Goiânia, CEP 74030-060</t>
        </is>
      </c>
      <c r="G78" s="6" t="inlineStr">
        <is>
          <t>(62) 3201-2013 / Plantão (62) 3201-2802</t>
        </is>
      </c>
      <c r="H78" s="6" t="inlineStr">
        <is>
          <t>deaem@policiacivil.go.gov.br</t>
        </is>
      </c>
      <c r="I78" s="6" t="inlineStr">
        <is>
          <t>Plantão 24h</t>
        </is>
      </c>
      <c r="J78" s="6" t="inlineStr"/>
      <c r="K78" s="3" t="inlineStr">
        <is>
          <t>Registro de ocorrência e pedido de medida protetiva.</t>
        </is>
      </c>
      <c r="L78" s="3" t="inlineStr">
        <is>
          <t>Protótipo do app (ver aba Fontes)</t>
        </is>
      </c>
      <c r="M78" s="7" t="inlineStr">
        <is>
          <t>Ativo</t>
        </is>
      </c>
      <c r="N78" s="7" t="n"/>
      <c r="O78" s="7" t="n"/>
      <c r="P78" s="6">
        <f>IF($A78="","",IF($M78="Inativo","Não",IF($N78="","Sim",IF(TODAY()-$N78&gt;180,"Sim","Não"))))</f>
        <v/>
      </c>
    </row>
    <row r="79">
      <c r="A79" s="6" t="inlineStr">
        <is>
          <t>plantao</t>
        </is>
      </c>
      <c r="B79" s="3" t="inlineStr">
        <is>
          <t>Polícia Civil, Plantão 24h (Cidade Jardim)</t>
        </is>
      </c>
      <c r="C79" s="6" t="inlineStr">
        <is>
          <t>Mulher</t>
        </is>
      </c>
      <c r="D79" s="6" t="inlineStr">
        <is>
          <t>Goiânia</t>
        </is>
      </c>
      <c r="E79" s="6" t="inlineStr"/>
      <c r="F79" s="3" t="inlineStr">
        <is>
          <t>Av. Atílio Corrêa Lima, s/n, Cidade Jardim, Goiânia, CEP 74425-030</t>
        </is>
      </c>
      <c r="G79" s="6" t="inlineStr">
        <is>
          <t>(62) 3201-2013 / Plantão (62) 3201-2801</t>
        </is>
      </c>
      <c r="H79" s="6" t="inlineStr">
        <is>
          <t>deaem@policiacivil.go.gov.br</t>
        </is>
      </c>
      <c r="I79" s="6" t="inlineStr">
        <is>
          <t>24h</t>
        </is>
      </c>
      <c r="J79" s="6" t="inlineStr"/>
      <c r="K79" s="3" t="inlineStr"/>
      <c r="L79" s="3" t="inlineStr">
        <is>
          <t>Protótipo do app (ver aba Fontes)</t>
        </is>
      </c>
      <c r="M79" s="7" t="inlineStr">
        <is>
          <t>Ativo</t>
        </is>
      </c>
      <c r="N79" s="7" t="n"/>
      <c r="O79" s="7" t="n"/>
      <c r="P79" s="6">
        <f>IF($A79="","",IF($M79="Inativo","Não",IF($N79="","Sim",IF(TODAY()-$N79&gt;180,"Sim","Não"))))</f>
        <v/>
      </c>
    </row>
    <row r="80">
      <c r="A80" s="6" t="inlineStr">
        <is>
          <t>cora</t>
        </is>
      </c>
      <c r="B80" s="3" t="inlineStr">
        <is>
          <t>Centro de Referência da Mulher Cora Coralina</t>
        </is>
      </c>
      <c r="C80" s="6" t="inlineStr">
        <is>
          <t>Mulher</t>
        </is>
      </c>
      <c r="D80" s="6" t="inlineStr">
        <is>
          <t>Goiânia</t>
        </is>
      </c>
      <c r="E80" s="6" t="inlineStr"/>
      <c r="F80" s="3" t="inlineStr">
        <is>
          <t>Rua 8 c/ Rua 9, nº 558, Ed. Small Tower, Setor Oeste, Goiânia</t>
        </is>
      </c>
      <c r="G80" s="6" t="inlineStr">
        <is>
          <t>(62) 3524-2422 / (62) 3524-2934</t>
        </is>
      </c>
      <c r="H80" s="6" t="inlineStr">
        <is>
          <t>secmulher@goiania.go.gov.br</t>
        </is>
      </c>
      <c r="I80" s="6" t="inlineStr">
        <is>
          <t>Seg a sex, 8h às 17h</t>
        </is>
      </c>
      <c r="J80" s="6" t="inlineStr"/>
      <c r="K80" s="3" t="inlineStr">
        <is>
          <t>Atendimento social, psicológico e jurídico. Faz o encaminhamento para a Casa Abrigo Sempre Viva (endereço sigiloso).</t>
        </is>
      </c>
      <c r="L80" s="3" t="inlineStr">
        <is>
          <t>Protótipo do app (ver aba Fontes)</t>
        </is>
      </c>
      <c r="M80" s="7" t="inlineStr">
        <is>
          <t>Ativo</t>
        </is>
      </c>
      <c r="N80" s="7" t="n"/>
      <c r="O80" s="7" t="n"/>
      <c r="P80" s="6">
        <f>IF($A80="","",IF($M80="Inativo","Não",IF($N80="","Sim",IF(TODAY()-$N80&gt;180,"Sim","Não"))))</f>
        <v/>
      </c>
    </row>
    <row r="81">
      <c r="A81" s="6" t="inlineStr">
        <is>
          <t>bmp</t>
        </is>
      </c>
      <c r="B81" s="3" t="inlineStr">
        <is>
          <t>Batalhão Maria da Penha (PM)</t>
        </is>
      </c>
      <c r="C81" s="6" t="inlineStr">
        <is>
          <t>Mulher</t>
        </is>
      </c>
      <c r="D81" s="6" t="inlineStr">
        <is>
          <t>Goiânia</t>
        </is>
      </c>
      <c r="E81" s="6" t="inlineStr"/>
      <c r="F81" s="3" t="inlineStr">
        <is>
          <t>Av. Perimetral esq. c/ Av. T-6, Setor Coimbra, Goiânia, CEP 74530-020</t>
        </is>
      </c>
      <c r="G81" s="6" t="inlineStr">
        <is>
          <t>(62) 99930-9778 / Emergência 190</t>
        </is>
      </c>
      <c r="H81" s="6" t="inlineStr"/>
      <c r="I81" s="6" t="inlineStr">
        <is>
          <t>Seg a sex, 8h às 12h e 14h às 18h</t>
        </is>
      </c>
      <c r="J81" s="6" t="inlineStr"/>
      <c r="K81" s="3" t="inlineStr">
        <is>
          <t>Fiscaliza medidas protetivas.</t>
        </is>
      </c>
      <c r="L81" s="3" t="inlineStr">
        <is>
          <t>Protótipo do app (ver aba Fontes)</t>
        </is>
      </c>
      <c r="M81" s="7" t="inlineStr">
        <is>
          <t>Ativo</t>
        </is>
      </c>
      <c r="N81" s="7" t="n"/>
      <c r="O81" s="7" t="n"/>
      <c r="P81" s="6">
        <f>IF($A81="","",IF($M81="Inativo","Não",IF($N81="","Sim",IF(TODAY()-$N81&gt;180,"Sim","Não"))))</f>
        <v/>
      </c>
    </row>
    <row r="82">
      <c r="A82" s="6" t="inlineStr">
        <is>
          <t>gcm</t>
        </is>
      </c>
      <c r="B82" s="3" t="inlineStr">
        <is>
          <t>Patrulha Mulher Mais Segura (GCM Goiânia)</t>
        </is>
      </c>
      <c r="C82" s="6" t="inlineStr">
        <is>
          <t>Mulher</t>
        </is>
      </c>
      <c r="D82" s="6" t="inlineStr">
        <is>
          <t>Goiânia</t>
        </is>
      </c>
      <c r="E82" s="6" t="inlineStr"/>
      <c r="F82" s="3" t="inlineStr"/>
      <c r="G82" s="6" t="inlineStr">
        <is>
          <t>153</t>
        </is>
      </c>
      <c r="H82" s="6" t="inlineStr"/>
      <c r="I82" s="6" t="inlineStr"/>
      <c r="J82" s="6" t="inlineStr"/>
      <c r="K82" s="3" t="inlineStr">
        <is>
          <t>Visitas a mulheres com medida protetiva e botão de pânico no app Prefeitura 24h.</t>
        </is>
      </c>
      <c r="L82" s="3" t="inlineStr">
        <is>
          <t>Protótipo do app (ver aba Fontes)</t>
        </is>
      </c>
      <c r="M82" s="7" t="inlineStr">
        <is>
          <t>Ativo</t>
        </is>
      </c>
      <c r="N82" s="7" t="n"/>
      <c r="O82" s="7" t="n"/>
      <c r="P82" s="6">
        <f>IF($A82="","",IF($M82="Inativo","Não",IF($N82="","Sim",IF(TODAY()-$N82&gt;180,"Sim","Não"))))</f>
        <v/>
      </c>
    </row>
    <row r="83">
      <c r="A83" s="6" t="inlineStr">
        <is>
          <t>pop</t>
        </is>
      </c>
      <c r="B83" s="3" t="inlineStr">
        <is>
          <t>Centro POP Goiânia</t>
        </is>
      </c>
      <c r="C83" s="6" t="inlineStr">
        <is>
          <t>CREAS e Centro POP</t>
        </is>
      </c>
      <c r="D83" s="6" t="inlineStr">
        <is>
          <t>Goiânia</t>
        </is>
      </c>
      <c r="E83" s="6" t="inlineStr"/>
      <c r="F83" s="3" t="inlineStr">
        <is>
          <t>Rua Francisca Costa Cunha Tita, Setor Aeroporto, Goiânia</t>
        </is>
      </c>
      <c r="G83" s="6" t="inlineStr"/>
      <c r="H83" s="6" t="inlineStr"/>
      <c r="I83" s="6" t="inlineStr">
        <is>
          <t>Todos os dias, 7h às 17h</t>
        </is>
      </c>
      <c r="J83" s="6" t="inlineStr"/>
      <c r="K83" s="3" t="inlineStr">
        <is>
          <t>Alimentação, higiene, documentos e encaminhamentos para pessoas em situação de rua. Telefone direto não localizado: use a gestão da assistência social abaixo.</t>
        </is>
      </c>
      <c r="L83" s="3" t="inlineStr">
        <is>
          <t>Protótipo do app (ver aba Fontes)</t>
        </is>
      </c>
      <c r="M83" s="7" t="inlineStr">
        <is>
          <t>Ativo</t>
        </is>
      </c>
      <c r="N83" s="7" t="n"/>
      <c r="O83" s="7" t="n"/>
      <c r="P83" s="6">
        <f>IF($A83="","",IF($M83="Inativo","Não",IF($N83="","Sim",IF(TODAY()-$N83&gt;180,"Sim","Não"))))</f>
        <v/>
      </c>
    </row>
    <row r="84">
      <c r="A84" s="6" t="inlineStr">
        <is>
          <t>gestaogyn</t>
        </is>
      </c>
      <c r="B84" s="3" t="inlineStr">
        <is>
          <t>Assistência Social de Goiânia (Semasdh), gestão da proteção especial</t>
        </is>
      </c>
      <c r="C84" s="6" t="inlineStr">
        <is>
          <t>CREAS e Centro POP</t>
        </is>
      </c>
      <c r="D84" s="6" t="inlineStr">
        <is>
          <t>Goiânia</t>
        </is>
      </c>
      <c r="E84" s="6" t="inlineStr"/>
      <c r="F84" s="3" t="inlineStr">
        <is>
          <t>Rua 25-A esq. c/ Av. República do Líbano, Qd. 63, s/n, Setor Aeroporto, Goiânia</t>
        </is>
      </c>
      <c r="G84" s="6" t="inlineStr">
        <is>
          <t>(62) 3524-2603 / (62) 3524-2714</t>
        </is>
      </c>
      <c r="H84" s="6" t="inlineStr">
        <is>
          <t>sedhs@goiania.go.gov.br</t>
        </is>
      </c>
      <c r="I84" s="6" t="inlineStr">
        <is>
          <t>Seg a sex, 8h às 18h</t>
        </is>
      </c>
      <c r="J84" s="6" t="inlineStr"/>
      <c r="K84" s="3" t="inlineStr"/>
      <c r="L84" s="3" t="inlineStr">
        <is>
          <t>Protótipo do app (ver aba Fontes)</t>
        </is>
      </c>
      <c r="M84" s="7" t="inlineStr">
        <is>
          <t>Ativo</t>
        </is>
      </c>
      <c r="N84" s="7" t="n"/>
      <c r="O84" s="7" t="n"/>
      <c r="P84" s="6">
        <f>IF($A84="","",IF($M84="Inativo","Não",IF($N84="","Sim",IF(TODAY()-$N84&gt;180,"Sim","Não"))))</f>
        <v/>
      </c>
    </row>
    <row r="85">
      <c r="A85" s="6" t="inlineStr">
        <is>
          <t>creas-cs</t>
        </is>
      </c>
      <c r="B85" s="3" t="inlineStr">
        <is>
          <t>CREAS Centro-Sul</t>
        </is>
      </c>
      <c r="C85" s="6" t="inlineStr">
        <is>
          <t>CREAS e Centro POP</t>
        </is>
      </c>
      <c r="D85" s="6" t="inlineStr">
        <is>
          <t>Goiânia</t>
        </is>
      </c>
      <c r="E85" s="6" t="inlineStr">
        <is>
          <t>centro-sul</t>
        </is>
      </c>
      <c r="F85" s="3" t="inlineStr">
        <is>
          <t>Rua 104, nº 614, Setor Sul</t>
        </is>
      </c>
      <c r="G85" s="6" t="inlineStr">
        <is>
          <t>(62) 3524-4607 / (62) 99208-4933</t>
        </is>
      </c>
      <c r="H85" s="6" t="inlineStr"/>
      <c r="I85" s="6" t="inlineStr"/>
      <c r="J85" s="6" t="inlineStr"/>
      <c r="K85" s="3" t="inlineStr"/>
      <c r="L85" s="3" t="inlineStr">
        <is>
          <t>Protótipo do app (ver aba Fontes)</t>
        </is>
      </c>
      <c r="M85" s="7" t="inlineStr">
        <is>
          <t>Ativo</t>
        </is>
      </c>
      <c r="N85" s="7" t="n"/>
      <c r="O85" s="7" t="n"/>
      <c r="P85" s="6">
        <f>IF($A85="","",IF($M85="Inativo","Não",IF($N85="","Sim",IF(TODAY()-$N85&gt;180,"Sim","Não"))))</f>
        <v/>
      </c>
    </row>
    <row r="86">
      <c r="A86" s="6" t="inlineStr">
        <is>
          <t>creas-l</t>
        </is>
      </c>
      <c r="B86" s="3" t="inlineStr">
        <is>
          <t>CREAS Leste</t>
        </is>
      </c>
      <c r="C86" s="6" t="inlineStr">
        <is>
          <t>CREAS e Centro POP</t>
        </is>
      </c>
      <c r="D86" s="6" t="inlineStr">
        <is>
          <t>Goiânia</t>
        </is>
      </c>
      <c r="E86" s="6" t="inlineStr">
        <is>
          <t>leste</t>
        </is>
      </c>
      <c r="F86" s="3" t="inlineStr">
        <is>
          <t>Rua Indiana, Qd. 21, Jardim Novo Mundo</t>
        </is>
      </c>
      <c r="G86" s="6" t="inlineStr">
        <is>
          <t>(62) 3524-1770 / (62) 99210-4518</t>
        </is>
      </c>
      <c r="H86" s="6" t="inlineStr"/>
      <c r="I86" s="6" t="inlineStr"/>
      <c r="J86" s="6" t="inlineStr"/>
      <c r="K86" s="3" t="inlineStr"/>
      <c r="L86" s="3" t="inlineStr">
        <is>
          <t>Protótipo do app (ver aba Fontes)</t>
        </is>
      </c>
      <c r="M86" s="7" t="inlineStr">
        <is>
          <t>Ativo</t>
        </is>
      </c>
      <c r="N86" s="7" t="n"/>
      <c r="O86" s="7" t="n"/>
      <c r="P86" s="6">
        <f>IF($A86="","",IF($M86="Inativo","Não",IF($N86="","Sim",IF(TODAY()-$N86&gt;180,"Sim","Não"))))</f>
        <v/>
      </c>
    </row>
    <row r="87">
      <c r="A87" s="6" t="inlineStr">
        <is>
          <t>creas-no</t>
        </is>
      </c>
      <c r="B87" s="3" t="inlineStr">
        <is>
          <t>CREAS Noroeste</t>
        </is>
      </c>
      <c r="C87" s="6" t="inlineStr">
        <is>
          <t>CREAS e Centro POP</t>
        </is>
      </c>
      <c r="D87" s="6" t="inlineStr">
        <is>
          <t>Goiânia</t>
        </is>
      </c>
      <c r="E87" s="6" t="inlineStr">
        <is>
          <t>noroeste</t>
        </is>
      </c>
      <c r="F87" s="3" t="inlineStr">
        <is>
          <t>Rua da República c/ Cláudio Manoel da Costa, Qd. 20, Lt. 32, Setor Capuava</t>
        </is>
      </c>
      <c r="G87" s="6" t="inlineStr">
        <is>
          <t>(62) 3524-3431 / (62) 99208-2462</t>
        </is>
      </c>
      <c r="H87" s="6" t="inlineStr"/>
      <c r="I87" s="6" t="inlineStr"/>
      <c r="J87" s="6" t="inlineStr"/>
      <c r="K87" s="3" t="inlineStr"/>
      <c r="L87" s="3" t="inlineStr">
        <is>
          <t>Protótipo do app (ver aba Fontes)</t>
        </is>
      </c>
      <c r="M87" s="7" t="inlineStr">
        <is>
          <t>Ativo</t>
        </is>
      </c>
      <c r="N87" s="7" t="n"/>
      <c r="O87" s="7" t="n"/>
      <c r="P87" s="6">
        <f>IF($A87="","",IF($M87="Inativo","Não",IF($N87="","Sim",IF(TODAY()-$N87&gt;180,"Sim","Não"))))</f>
        <v/>
      </c>
    </row>
    <row r="88">
      <c r="A88" s="6" t="inlineStr">
        <is>
          <t>creas-n</t>
        </is>
      </c>
      <c r="B88" s="3" t="inlineStr">
        <is>
          <t>CREAS Norte</t>
        </is>
      </c>
      <c r="C88" s="6" t="inlineStr">
        <is>
          <t>CREAS e Centro POP</t>
        </is>
      </c>
      <c r="D88" s="6" t="inlineStr">
        <is>
          <t>Goiânia</t>
        </is>
      </c>
      <c r="E88" s="6" t="inlineStr">
        <is>
          <t>norte</t>
        </is>
      </c>
      <c r="F88" s="3" t="inlineStr">
        <is>
          <t>Alameda Capim Puba, nº 60, Qd. 01, Lt. 04, Setor Centro-Oeste</t>
        </is>
      </c>
      <c r="G88" s="6" t="inlineStr">
        <is>
          <t>(62) 3524-2147 / (62) 99210-7904</t>
        </is>
      </c>
      <c r="H88" s="6" t="inlineStr"/>
      <c r="I88" s="6" t="inlineStr"/>
      <c r="J88" s="6" t="inlineStr"/>
      <c r="K88" s="3" t="inlineStr"/>
      <c r="L88" s="3" t="inlineStr">
        <is>
          <t>Protótipo do app (ver aba Fontes)</t>
        </is>
      </c>
      <c r="M88" s="7" t="inlineStr">
        <is>
          <t>Ativo</t>
        </is>
      </c>
      <c r="N88" s="7" t="n"/>
      <c r="O88" s="7" t="n"/>
      <c r="P88" s="6">
        <f>IF($A88="","",IF($M88="Inativo","Não",IF($N88="","Sim",IF(TODAY()-$N88&gt;180,"Sim","Não"))))</f>
        <v/>
      </c>
    </row>
    <row r="89">
      <c r="A89" s="6" t="inlineStr">
        <is>
          <t>creas-o</t>
        </is>
      </c>
      <c r="B89" s="3" t="inlineStr">
        <is>
          <t>CREAS Oeste</t>
        </is>
      </c>
      <c r="C89" s="6" t="inlineStr">
        <is>
          <t>CREAS e Centro POP</t>
        </is>
      </c>
      <c r="D89" s="6" t="inlineStr">
        <is>
          <t>Goiânia</t>
        </is>
      </c>
      <c r="E89" s="6" t="inlineStr">
        <is>
          <t>oeste</t>
        </is>
      </c>
      <c r="F89" s="3" t="inlineStr">
        <is>
          <t>Av. Sonemberg c/ Antônio Xavier, nº 01, Praça Conj. Romildo Francisco Amaral, Setor Cidade Jardim</t>
        </is>
      </c>
      <c r="G89" s="6" t="inlineStr">
        <is>
          <t>(62) 3524-6914 / (62) 99206-0636</t>
        </is>
      </c>
      <c r="H89" s="6" t="inlineStr"/>
      <c r="I89" s="6" t="inlineStr"/>
      <c r="J89" s="6" t="inlineStr"/>
      <c r="K89" s="3" t="inlineStr"/>
      <c r="L89" s="3" t="inlineStr">
        <is>
          <t>Protótipo do app (ver aba Fontes)</t>
        </is>
      </c>
      <c r="M89" s="7" t="inlineStr">
        <is>
          <t>Ativo</t>
        </is>
      </c>
      <c r="N89" s="7" t="n"/>
      <c r="O89" s="7" t="n"/>
      <c r="P89" s="6">
        <f>IF($A89="","",IF($M89="Inativo","Não",IF($N89="","Sim",IF(TODAY()-$N89&gt;180,"Sim","Não"))))</f>
        <v/>
      </c>
    </row>
    <row r="90">
      <c r="A90" s="6" t="inlineStr">
        <is>
          <t>ct-cs</t>
        </is>
      </c>
      <c r="B90" s="3" t="inlineStr">
        <is>
          <t>Conselho Tutelar Centro-Sul</t>
        </is>
      </c>
      <c r="C90" s="6" t="inlineStr">
        <is>
          <t>Conselho Tutelar</t>
        </is>
      </c>
      <c r="D90" s="6" t="inlineStr">
        <is>
          <t>Goiânia</t>
        </is>
      </c>
      <c r="E90" s="6" t="inlineStr">
        <is>
          <t>centro-sul</t>
        </is>
      </c>
      <c r="F90" s="3" t="inlineStr"/>
      <c r="G90" s="6" t="inlineStr">
        <is>
          <t>(62) 3524-1760</t>
        </is>
      </c>
      <c r="H90" s="6" t="inlineStr"/>
      <c r="I90" s="6" t="inlineStr"/>
      <c r="J90" s="6" t="inlineStr"/>
      <c r="K90" s="3" t="inlineStr">
        <is>
          <t>Regiões Central e Sul.</t>
        </is>
      </c>
      <c r="L90" s="3" t="inlineStr">
        <is>
          <t>Protótipo do app (ver aba Fontes)</t>
        </is>
      </c>
      <c r="M90" s="7" t="inlineStr">
        <is>
          <t>Ativo</t>
        </is>
      </c>
      <c r="N90" s="7" t="n"/>
      <c r="O90" s="7" t="n"/>
      <c r="P90" s="6">
        <f>IF($A90="","",IF($M90="Inativo","Não",IF($N90="","Sim",IF(TODAY()-$N90&gt;180,"Sim","Não"))))</f>
        <v/>
      </c>
    </row>
    <row r="91">
      <c r="A91" s="6" t="inlineStr">
        <is>
          <t>ct-l</t>
        </is>
      </c>
      <c r="B91" s="3" t="inlineStr">
        <is>
          <t>Conselho Tutelar Leste</t>
        </is>
      </c>
      <c r="C91" s="6" t="inlineStr">
        <is>
          <t>Conselho Tutelar</t>
        </is>
      </c>
      <c r="D91" s="6" t="inlineStr">
        <is>
          <t>Goiânia</t>
        </is>
      </c>
      <c r="E91" s="6" t="inlineStr">
        <is>
          <t>leste</t>
        </is>
      </c>
      <c r="F91" s="3" t="inlineStr"/>
      <c r="G91" s="6" t="inlineStr">
        <is>
          <t>(62) 3524-1743</t>
        </is>
      </c>
      <c r="H91" s="6" t="inlineStr"/>
      <c r="I91" s="6" t="inlineStr"/>
      <c r="J91" s="6" t="inlineStr"/>
      <c r="K91" s="3" t="inlineStr">
        <is>
          <t>Regiões Leste e Sudeste.</t>
        </is>
      </c>
      <c r="L91" s="3" t="inlineStr">
        <is>
          <t>Protótipo do app (ver aba Fontes)</t>
        </is>
      </c>
      <c r="M91" s="7" t="inlineStr">
        <is>
          <t>Ativo</t>
        </is>
      </c>
      <c r="N91" s="7" t="n"/>
      <c r="O91" s="7" t="n"/>
      <c r="P91" s="6">
        <f>IF($A91="","",IF($M91="Inativo","Não",IF($N91="","Sim",IF(TODAY()-$N91&gt;180,"Sim","Não"))))</f>
        <v/>
      </c>
    </row>
    <row r="92">
      <c r="A92" s="6" t="inlineStr">
        <is>
          <t>ct-n</t>
        </is>
      </c>
      <c r="B92" s="3" t="inlineStr">
        <is>
          <t>Conselho Tutelar Norte</t>
        </is>
      </c>
      <c r="C92" s="6" t="inlineStr">
        <is>
          <t>Conselho Tutelar</t>
        </is>
      </c>
      <c r="D92" s="6" t="inlineStr">
        <is>
          <t>Goiânia</t>
        </is>
      </c>
      <c r="E92" s="6" t="inlineStr">
        <is>
          <t>norte</t>
        </is>
      </c>
      <c r="F92" s="3" t="inlineStr"/>
      <c r="G92" s="6" t="inlineStr">
        <is>
          <t>(62) 3524-2404</t>
        </is>
      </c>
      <c r="H92" s="6" t="inlineStr"/>
      <c r="I92" s="6" t="inlineStr"/>
      <c r="J92" s="6" t="inlineStr"/>
      <c r="K92" s="3" t="inlineStr">
        <is>
          <t>Regiões Vale do Meia Ponte e Norte.</t>
        </is>
      </c>
      <c r="L92" s="3" t="inlineStr">
        <is>
          <t>Protótipo do app (ver aba Fontes)</t>
        </is>
      </c>
      <c r="M92" s="7" t="inlineStr">
        <is>
          <t>Ativo</t>
        </is>
      </c>
      <c r="N92" s="7" t="n"/>
      <c r="O92" s="7" t="n"/>
      <c r="P92" s="6">
        <f>IF($A92="","",IF($M92="Inativo","Não",IF($N92="","Sim",IF(TODAY()-$N92&gt;180,"Sim","Não"))))</f>
        <v/>
      </c>
    </row>
    <row r="93">
      <c r="A93" s="6" t="inlineStr">
        <is>
          <t>ct-o</t>
        </is>
      </c>
      <c r="B93" s="3" t="inlineStr">
        <is>
          <t>Conselho Tutelar Oeste</t>
        </is>
      </c>
      <c r="C93" s="6" t="inlineStr">
        <is>
          <t>Conselho Tutelar</t>
        </is>
      </c>
      <c r="D93" s="6" t="inlineStr">
        <is>
          <t>Goiânia</t>
        </is>
      </c>
      <c r="E93" s="6" t="inlineStr">
        <is>
          <t>oeste</t>
        </is>
      </c>
      <c r="F93" s="3" t="inlineStr"/>
      <c r="G93" s="6" t="inlineStr">
        <is>
          <t>(62) 3524-1765</t>
        </is>
      </c>
      <c r="H93" s="6" t="inlineStr"/>
      <c r="I93" s="6" t="inlineStr"/>
      <c r="J93" s="6" t="inlineStr"/>
      <c r="K93" s="3" t="inlineStr">
        <is>
          <t>Regiões Macambira/Cascavel e Sudoeste.</t>
        </is>
      </c>
      <c r="L93" s="3" t="inlineStr">
        <is>
          <t>Protótipo do app (ver aba Fontes)</t>
        </is>
      </c>
      <c r="M93" s="7" t="inlineStr">
        <is>
          <t>Ativo</t>
        </is>
      </c>
      <c r="N93" s="7" t="n"/>
      <c r="O93" s="7" t="n"/>
      <c r="P93" s="6">
        <f>IF($A93="","",IF($M93="Inativo","Não",IF($N93="","Sim",IF(TODAY()-$N93&gt;180,"Sim","Não"))))</f>
        <v/>
      </c>
    </row>
    <row r="94">
      <c r="A94" s="6" t="inlineStr">
        <is>
          <t>ct-no</t>
        </is>
      </c>
      <c r="B94" s="3" t="inlineStr">
        <is>
          <t>Conselho Tutelar Noroeste</t>
        </is>
      </c>
      <c r="C94" s="6" t="inlineStr">
        <is>
          <t>Conselho Tutelar</t>
        </is>
      </c>
      <c r="D94" s="6" t="inlineStr">
        <is>
          <t>Goiânia</t>
        </is>
      </c>
      <c r="E94" s="6" t="inlineStr">
        <is>
          <t>noroeste</t>
        </is>
      </c>
      <c r="F94" s="3" t="inlineStr"/>
      <c r="G94" s="6" t="inlineStr">
        <is>
          <t>(62) 3524-3446</t>
        </is>
      </c>
      <c r="H94" s="6" t="inlineStr"/>
      <c r="I94" s="6" t="inlineStr"/>
      <c r="J94" s="6" t="inlineStr"/>
      <c r="K94" s="3" t="inlineStr">
        <is>
          <t>Regiões Mendanha e Noroeste.</t>
        </is>
      </c>
      <c r="L94" s="3" t="inlineStr">
        <is>
          <t>Protótipo do app (ver aba Fontes)</t>
        </is>
      </c>
      <c r="M94" s="7" t="inlineStr">
        <is>
          <t>Ativo</t>
        </is>
      </c>
      <c r="N94" s="7" t="n"/>
      <c r="O94" s="7" t="n"/>
      <c r="P94" s="6">
        <f>IF($A94="","",IF($M94="Inativo","Não",IF($N94="","Sim",IF(TODAY()-$N94&gt;180,"Sim","Não"))))</f>
        <v/>
      </c>
    </row>
    <row r="95">
      <c r="A95" s="6" t="inlineStr">
        <is>
          <t>ct-c</t>
        </is>
      </c>
      <c r="B95" s="3" t="inlineStr">
        <is>
          <t>Conselho Tutelar Campinas</t>
        </is>
      </c>
      <c r="C95" s="6" t="inlineStr">
        <is>
          <t>Conselho Tutelar</t>
        </is>
      </c>
      <c r="D95" s="6" t="inlineStr">
        <is>
          <t>Goiânia</t>
        </is>
      </c>
      <c r="E95" s="6" t="inlineStr">
        <is>
          <t>campinas</t>
        </is>
      </c>
      <c r="F95" s="3" t="inlineStr"/>
      <c r="G95" s="6" t="inlineStr">
        <is>
          <t>(62) 3524-2481</t>
        </is>
      </c>
      <c r="H95" s="6" t="inlineStr"/>
      <c r="I95" s="6" t="inlineStr"/>
      <c r="J95" s="6" t="inlineStr"/>
      <c r="K95" s="3" t="inlineStr">
        <is>
          <t>Regiões Campinas e Oeste.</t>
        </is>
      </c>
      <c r="L95" s="3" t="inlineStr">
        <is>
          <t>Protótipo do app (ver aba Fontes)</t>
        </is>
      </c>
      <c r="M95" s="7" t="inlineStr">
        <is>
          <t>Ativo</t>
        </is>
      </c>
      <c r="N95" s="7" t="n"/>
      <c r="O95" s="7" t="n"/>
      <c r="P95" s="6">
        <f>IF($A95="","",IF($M95="Inativo","Não",IF($N95="","Sim",IF(TODAY()-$N95&gt;180,"Sim","Não"))))</f>
        <v/>
      </c>
    </row>
    <row r="96">
      <c r="A96" s="6" t="inlineStr">
        <is>
          <t>semas-ap</t>
        </is>
      </c>
      <c r="B96" s="3" t="inlineStr">
        <is>
          <t>Secretaria de Assistência Social de Aparecida</t>
        </is>
      </c>
      <c r="C96" s="6" t="inlineStr">
        <is>
          <t>CRAS</t>
        </is>
      </c>
      <c r="D96" s="6" t="inlineStr">
        <is>
          <t>Aparecida de Goiânia</t>
        </is>
      </c>
      <c r="E96" s="6" t="inlineStr"/>
      <c r="F96" s="3" t="inlineStr"/>
      <c r="G96" s="6" t="inlineStr">
        <is>
          <t>(62) 3545-5970</t>
        </is>
      </c>
      <c r="H96" s="6" t="inlineStr"/>
      <c r="I96" s="6" t="inlineStr"/>
      <c r="J96" s="6" t="inlineStr"/>
      <c r="K96" s="3" t="inlineStr">
        <is>
          <t>Informa o CRAS de referência do bairro (o município tem 8 unidades).</t>
        </is>
      </c>
      <c r="L96" s="3" t="inlineStr">
        <is>
          <t>Protótipo do app (ver aba Fontes)</t>
        </is>
      </c>
      <c r="M96" s="7" t="inlineStr">
        <is>
          <t>Ativo</t>
        </is>
      </c>
      <c r="N96" s="7" t="n"/>
      <c r="O96" s="7" t="n"/>
      <c r="P96" s="6">
        <f>IF($A96="","",IF($M96="Inativo","Não",IF($N96="","Sim",IF(TODAY()-$N96&gt;180,"Sim","Não"))))</f>
        <v/>
      </c>
    </row>
    <row r="97">
      <c r="A97" s="6" t="inlineStr">
        <is>
          <t>creas-ap</t>
        </is>
      </c>
      <c r="B97" s="3" t="inlineStr">
        <is>
          <t>CREAS II Aparecida</t>
        </is>
      </c>
      <c r="C97" s="6" t="inlineStr">
        <is>
          <t>CREAS e Centro POP</t>
        </is>
      </c>
      <c r="D97" s="6" t="inlineStr">
        <is>
          <t>Aparecida de Goiânia</t>
        </is>
      </c>
      <c r="E97" s="6" t="inlineStr"/>
      <c r="F97" s="3" t="inlineStr">
        <is>
          <t>Rua 07, Jardim Tiradentes, Aparecida de Goiânia</t>
        </is>
      </c>
      <c r="G97" s="6" t="inlineStr">
        <is>
          <t>(62) 3545-9980</t>
        </is>
      </c>
      <c r="H97" s="6" t="inlineStr"/>
      <c r="I97" s="6" t="inlineStr"/>
      <c r="J97" s="6" t="inlineStr"/>
      <c r="K97" s="3" t="inlineStr"/>
      <c r="L97" s="3" t="inlineStr">
        <is>
          <t>Protótipo do app (ver aba Fontes)</t>
        </is>
      </c>
      <c r="M97" s="7" t="inlineStr">
        <is>
          <t>Ativo</t>
        </is>
      </c>
      <c r="N97" s="7" t="n"/>
      <c r="O97" s="7" t="n"/>
      <c r="P97" s="6">
        <f>IF($A97="","",IF($M97="Inativo","Não",IF($N97="","Sim",IF(TODAY()-$N97&gt;180,"Sim","Não"))))</f>
        <v/>
      </c>
    </row>
    <row r="98">
      <c r="A98" s="6" t="inlineStr">
        <is>
          <t>ct-ap-c</t>
        </is>
      </c>
      <c r="B98" s="3" t="inlineStr">
        <is>
          <t>Conselho Tutelar Regional Centro (Aparecida)</t>
        </is>
      </c>
      <c r="C98" s="6" t="inlineStr">
        <is>
          <t>Conselho Tutelar</t>
        </is>
      </c>
      <c r="D98" s="6" t="inlineStr">
        <is>
          <t>Aparecida de Goiânia</t>
        </is>
      </c>
      <c r="E98" s="6" t="inlineStr"/>
      <c r="F98" s="3" t="inlineStr">
        <is>
          <t>Av. B, Qd. F, Lt. 01</t>
        </is>
      </c>
      <c r="G98" s="6" t="inlineStr">
        <is>
          <t>(62) 3545-5880 / (62) 99282-9025</t>
        </is>
      </c>
      <c r="H98" s="6" t="inlineStr">
        <is>
          <t>ctutelarapgyn132@gmail.com</t>
        </is>
      </c>
      <c r="I98" s="6" t="inlineStr"/>
      <c r="J98" s="6" t="inlineStr"/>
      <c r="K98" s="3" t="inlineStr"/>
      <c r="L98" s="3" t="inlineStr">
        <is>
          <t>Protótipo do app (ver aba Fontes)</t>
        </is>
      </c>
      <c r="M98" s="7" t="inlineStr">
        <is>
          <t>Ativo</t>
        </is>
      </c>
      <c r="N98" s="7" t="n"/>
      <c r="O98" s="7" t="n"/>
      <c r="P98" s="6">
        <f>IF($A98="","",IF($M98="Inativo","Não",IF($N98="","Sim",IF(TODAY()-$N98&gt;180,"Sim","Não"))))</f>
        <v/>
      </c>
    </row>
    <row r="99">
      <c r="A99" s="6" t="inlineStr">
        <is>
          <t>ct-ap-g</t>
        </is>
      </c>
      <c r="B99" s="3" t="inlineStr">
        <is>
          <t>Conselho Tutelar Regional Garavelo (Aparecida)</t>
        </is>
      </c>
      <c r="C99" s="6" t="inlineStr">
        <is>
          <t>Conselho Tutelar</t>
        </is>
      </c>
      <c r="D99" s="6" t="inlineStr">
        <is>
          <t>Aparecida de Goiânia</t>
        </is>
      </c>
      <c r="E99" s="6" t="inlineStr"/>
      <c r="F99" s="3" t="inlineStr">
        <is>
          <t>Av. Tropical, Qd. 25, Lt. 04</t>
        </is>
      </c>
      <c r="G99" s="6" t="inlineStr">
        <is>
          <t>(62) 3545-4897 / (62) 98459-9726</t>
        </is>
      </c>
      <c r="H99" s="6" t="inlineStr"/>
      <c r="I99" s="6" t="inlineStr"/>
      <c r="J99" s="6" t="inlineStr"/>
      <c r="K99" s="3" t="inlineStr"/>
      <c r="L99" s="3" t="inlineStr">
        <is>
          <t>Protótipo do app (ver aba Fontes)</t>
        </is>
      </c>
      <c r="M99" s="7" t="inlineStr">
        <is>
          <t>Ativo</t>
        </is>
      </c>
      <c r="N99" s="7" t="n"/>
      <c r="O99" s="7" t="n"/>
      <c r="P99" s="6">
        <f>IF($A99="","",IF($M99="Inativo","Não",IF($N99="","Sim",IF(TODAY()-$N99&gt;180,"Sim","Não"))))</f>
        <v/>
      </c>
    </row>
    <row r="100">
      <c r="A100" s="6" t="inlineStr">
        <is>
          <t>dpca-ap</t>
        </is>
      </c>
      <c r="B100" s="3" t="inlineStr">
        <is>
          <t>DPCA, Delegacia de Proteção à Criança e ao Adolescente</t>
        </is>
      </c>
      <c r="C100" s="6" t="inlineStr">
        <is>
          <t>Justiça e direitos</t>
        </is>
      </c>
      <c r="D100" s="6" t="inlineStr">
        <is>
          <t>Aparecida de Goiânia</t>
        </is>
      </c>
      <c r="E100" s="6" t="inlineStr"/>
      <c r="F100" s="3" t="inlineStr">
        <is>
          <t>Av. Furnas, Qd. 03, Lt. 8/9, Residencial Maria Luíza</t>
        </is>
      </c>
      <c r="G100" s="6" t="inlineStr">
        <is>
          <t>(62) 3201-2295</t>
        </is>
      </c>
      <c r="H100" s="6" t="inlineStr"/>
      <c r="I100" s="6" t="inlineStr"/>
      <c r="J100" s="6" t="inlineStr"/>
      <c r="K100" s="3" t="inlineStr"/>
      <c r="L100" s="3" t="inlineStr">
        <is>
          <t>Protótipo do app (ver aba Fontes)</t>
        </is>
      </c>
      <c r="M100" s="7" t="inlineStr">
        <is>
          <t>Ativo</t>
        </is>
      </c>
      <c r="N100" s="7" t="n"/>
      <c r="O100" s="7" t="n"/>
      <c r="P100" s="6">
        <f>IF($A100="","",IF($M100="Inativo","Não",IF($N100="","Sim",IF(TODAY()-$N100&gt;180,"Sim","Não"))))</f>
        <v/>
      </c>
    </row>
    <row r="101">
      <c r="A101" s="6" t="inlineStr">
        <is>
          <t>jij-ap</t>
        </is>
      </c>
      <c r="B101" s="3" t="inlineStr">
        <is>
          <t>Juizado da Infância e Juventude de Aparecida</t>
        </is>
      </c>
      <c r="C101" s="6" t="inlineStr">
        <is>
          <t>Justiça e direitos</t>
        </is>
      </c>
      <c r="D101" s="6" t="inlineStr">
        <is>
          <t>Aparecida de Goiânia</t>
        </is>
      </c>
      <c r="E101" s="6" t="inlineStr"/>
      <c r="F101" s="3" t="inlineStr">
        <is>
          <t>Fórum do Centro de Aparecida</t>
        </is>
      </c>
      <c r="G101" s="6" t="inlineStr">
        <is>
          <t>(62) 3238-5138</t>
        </is>
      </c>
      <c r="H101" s="6" t="inlineStr">
        <is>
          <t>comarcadeaparecida@tjgo.jus.br</t>
        </is>
      </c>
      <c r="I101" s="6" t="inlineStr"/>
      <c r="J101" s="6" t="inlineStr"/>
      <c r="K101" s="3" t="inlineStr"/>
      <c r="L101" s="3" t="inlineStr">
        <is>
          <t>Protótipo do app (ver aba Fontes)</t>
        </is>
      </c>
      <c r="M101" s="7" t="inlineStr">
        <is>
          <t>Ativo</t>
        </is>
      </c>
      <c r="N101" s="7" t="n"/>
      <c r="O101" s="7" t="n"/>
      <c r="P101" s="6">
        <f>IF($A101="","",IF($M101="Inativo","Não",IF($N101="","Sim",IF(TODAY()-$N101&gt;180,"Sim","Não"))))</f>
        <v/>
      </c>
    </row>
    <row r="102">
      <c r="A102" s="6" t="inlineStr">
        <is>
          <t>cras0</t>
        </is>
      </c>
      <c r="B102" s="3" t="inlineStr">
        <is>
          <t>Centro de Convivência Aruanã</t>
        </is>
      </c>
      <c r="C102" s="6" t="inlineStr">
        <is>
          <t>CRAS</t>
        </is>
      </c>
      <c r="D102" s="6" t="inlineStr">
        <is>
          <t>Goiânia</t>
        </is>
      </c>
      <c r="E102" s="6" t="inlineStr"/>
      <c r="F102" s="3" t="inlineStr">
        <is>
          <t>Rua AP-04, s/n, Conj. Residencial Aruanã II, Goiânia</t>
        </is>
      </c>
      <c r="G102" s="6" t="inlineStr">
        <is>
          <t>(62) 99206-9665</t>
        </is>
      </c>
      <c r="H102" s="6" t="inlineStr"/>
      <c r="I102" s="6" t="inlineStr"/>
      <c r="J102" s="6" t="inlineStr"/>
      <c r="K102" s="3" t="inlineStr">
        <is>
          <t>Cadastro Único, Bolsa Família, BPC e benefícios estaduais. Fonte: Seds/GO, 18/10/2024.</t>
        </is>
      </c>
      <c r="L102" s="3" t="inlineStr">
        <is>
          <t>Seds/GO, 18/10/2024</t>
        </is>
      </c>
      <c r="M102" s="7" t="inlineStr">
        <is>
          <t>Ativo</t>
        </is>
      </c>
      <c r="N102" s="8" t="n">
        <v>45583</v>
      </c>
      <c r="O102" s="7" t="inlineStr">
        <is>
          <t>Data da fonte</t>
        </is>
      </c>
      <c r="P102" s="6">
        <f>IF($A102="","",IF($M102="Inativo","Não",IF($N102="","Sim",IF(TODAY()-$N102&gt;180,"Sim","Não"))))</f>
        <v/>
      </c>
    </row>
    <row r="103">
      <c r="A103" s="6" t="inlineStr">
        <is>
          <t>cras1</t>
        </is>
      </c>
      <c r="B103" s="3" t="inlineStr">
        <is>
          <t>Centro de Convivência Esplanada dos Anicuns</t>
        </is>
      </c>
      <c r="C103" s="6" t="inlineStr">
        <is>
          <t>CRAS</t>
        </is>
      </c>
      <c r="D103" s="6" t="inlineStr">
        <is>
          <t>Goiânia</t>
        </is>
      </c>
      <c r="E103" s="6" t="inlineStr"/>
      <c r="F103" s="3" t="inlineStr">
        <is>
          <t>Rua São Gotardo c/ Av. Progresso, Setor Esplanada dos Anicuns, Goiânia</t>
        </is>
      </c>
      <c r="G103" s="6" t="inlineStr">
        <is>
          <t>(62) 99206-8758</t>
        </is>
      </c>
      <c r="H103" s="6" t="inlineStr"/>
      <c r="I103" s="6" t="inlineStr"/>
      <c r="J103" s="6" t="inlineStr"/>
      <c r="K103" s="3" t="inlineStr">
        <is>
          <t>Cadastro Único, Bolsa Família, BPC e benefícios estaduais. Fonte: Seds/GO, 18/10/2024.</t>
        </is>
      </c>
      <c r="L103" s="3" t="inlineStr">
        <is>
          <t>Seds/GO, 18/10/2024</t>
        </is>
      </c>
      <c r="M103" s="7" t="inlineStr">
        <is>
          <t>Ativo</t>
        </is>
      </c>
      <c r="N103" s="8" t="n">
        <v>45583</v>
      </c>
      <c r="O103" s="7" t="inlineStr">
        <is>
          <t>Data da fonte</t>
        </is>
      </c>
      <c r="P103" s="6">
        <f>IF($A103="","",IF($M103="Inativo","Não",IF($N103="","Sim",IF(TODAY()-$N103&gt;180,"Sim","Não"))))</f>
        <v/>
      </c>
    </row>
    <row r="104">
      <c r="A104" s="6" t="inlineStr">
        <is>
          <t>cras2</t>
        </is>
      </c>
      <c r="B104" s="3" t="inlineStr">
        <is>
          <t>CRAS Aroeiras</t>
        </is>
      </c>
      <c r="C104" s="6" t="inlineStr">
        <is>
          <t>CRAS</t>
        </is>
      </c>
      <c r="D104" s="6" t="inlineStr">
        <is>
          <t>Goiânia</t>
        </is>
      </c>
      <c r="E104" s="6" t="inlineStr"/>
      <c r="F104" s="3" t="inlineStr">
        <is>
          <t>Av. das Aroeiras, Qd. 20, Lt. 02, Jardim das Aroeiras, Goiânia</t>
        </is>
      </c>
      <c r="G104" s="6" t="inlineStr">
        <is>
          <t>(62) 99207-8792</t>
        </is>
      </c>
      <c r="H104" s="6" t="inlineStr"/>
      <c r="I104" s="6" t="inlineStr"/>
      <c r="J104" s="6" t="inlineStr"/>
      <c r="K104" s="3" t="inlineStr">
        <is>
          <t>Cadastro Único, Bolsa Família, BPC e benefícios estaduais. Fonte: Seds/GO, 18/10/2024.</t>
        </is>
      </c>
      <c r="L104" s="3" t="inlineStr">
        <is>
          <t>Seds/GO, 18/10/2024</t>
        </is>
      </c>
      <c r="M104" s="7" t="inlineStr">
        <is>
          <t>Ativo</t>
        </is>
      </c>
      <c r="N104" s="8" t="n">
        <v>45583</v>
      </c>
      <c r="O104" s="7" t="inlineStr">
        <is>
          <t>Data da fonte</t>
        </is>
      </c>
      <c r="P104" s="6">
        <f>IF($A104="","",IF($M104="Inativo","Não",IF($N104="","Sim",IF(TODAY()-$N104&gt;180,"Sim","Não"))))</f>
        <v/>
      </c>
    </row>
    <row r="105">
      <c r="A105" s="6" t="inlineStr">
        <is>
          <t>cras3</t>
        </is>
      </c>
      <c r="B105" s="3" t="inlineStr">
        <is>
          <t>CRAS Baliza</t>
        </is>
      </c>
      <c r="C105" s="6" t="inlineStr">
        <is>
          <t>CRAS</t>
        </is>
      </c>
      <c r="D105" s="6" t="inlineStr">
        <is>
          <t>Goiânia</t>
        </is>
      </c>
      <c r="E105" s="6" t="inlineStr"/>
      <c r="F105" s="3" t="inlineStr">
        <is>
          <t>Rua BL-11, Qd. B-8, Conjunto Baliza, Goiânia</t>
        </is>
      </c>
      <c r="G105" s="6" t="inlineStr">
        <is>
          <t>(62) 9207-8693</t>
        </is>
      </c>
      <c r="H105" s="6" t="inlineStr"/>
      <c r="I105" s="6" t="inlineStr"/>
      <c r="J105" s="6" t="inlineStr"/>
      <c r="K105" s="3" t="inlineStr">
        <is>
          <t>Cadastro Único, Bolsa Família, BPC e benefícios estaduais. Fonte: Seds/GO, 18/10/2024.</t>
        </is>
      </c>
      <c r="L105" s="3" t="inlineStr">
        <is>
          <t>Seds/GO, 18/10/2024</t>
        </is>
      </c>
      <c r="M105" s="7" t="inlineStr">
        <is>
          <t>Ativo</t>
        </is>
      </c>
      <c r="N105" s="8" t="n">
        <v>45583</v>
      </c>
      <c r="O105" s="7" t="inlineStr">
        <is>
          <t>Data da fonte</t>
        </is>
      </c>
      <c r="P105" s="6">
        <f>IF($A105="","",IF($M105="Inativo","Não",IF($N105="","Sim",IF(TODAY()-$N105&gt;180,"Sim","Não"))))</f>
        <v/>
      </c>
    </row>
    <row r="106">
      <c r="A106" s="6" t="inlineStr">
        <is>
          <t>cras4</t>
        </is>
      </c>
      <c r="B106" s="3" t="inlineStr">
        <is>
          <t>CRAS Canaã</t>
        </is>
      </c>
      <c r="C106" s="6" t="inlineStr">
        <is>
          <t>CRAS</t>
        </is>
      </c>
      <c r="D106" s="6" t="inlineStr">
        <is>
          <t>Goiânia</t>
        </is>
      </c>
      <c r="E106" s="6" t="inlineStr"/>
      <c r="F106" s="3" t="inlineStr">
        <is>
          <t>Rua Langendofer, Qd. 01, Lt. 01, Vila Nova Canaã, Goiânia</t>
        </is>
      </c>
      <c r="G106" s="6" t="inlineStr">
        <is>
          <t>(62) 99210-7217</t>
        </is>
      </c>
      <c r="H106" s="6" t="inlineStr"/>
      <c r="I106" s="6" t="inlineStr"/>
      <c r="J106" s="6" t="inlineStr"/>
      <c r="K106" s="3" t="inlineStr">
        <is>
          <t>Cadastro Único, Bolsa Família, BPC e benefícios estaduais. Fonte: Seds/GO, 18/10/2024.</t>
        </is>
      </c>
      <c r="L106" s="3" t="inlineStr">
        <is>
          <t>Seds/GO, 18/10/2024</t>
        </is>
      </c>
      <c r="M106" s="7" t="inlineStr">
        <is>
          <t>Ativo</t>
        </is>
      </c>
      <c r="N106" s="8" t="n">
        <v>45583</v>
      </c>
      <c r="O106" s="7" t="inlineStr">
        <is>
          <t>Data da fonte</t>
        </is>
      </c>
      <c r="P106" s="6">
        <f>IF($A106="","",IF($M106="Inativo","Não",IF($N106="","Sim",IF(TODAY()-$N106&gt;180,"Sim","Não"))))</f>
        <v/>
      </c>
    </row>
    <row r="107">
      <c r="A107" s="6" t="inlineStr">
        <is>
          <t>cras5</t>
        </is>
      </c>
      <c r="B107" s="3" t="inlineStr">
        <is>
          <t>CRAS Capuava</t>
        </is>
      </c>
      <c r="C107" s="6" t="inlineStr">
        <is>
          <t>CRAS</t>
        </is>
      </c>
      <c r="D107" s="6" t="inlineStr">
        <is>
          <t>Goiânia</t>
        </is>
      </c>
      <c r="E107" s="6" t="inlineStr"/>
      <c r="F107" s="3" t="inlineStr">
        <is>
          <t>Rua Borba Gato, nº 367, Qd. 61, Lt. 19-20, Bairro Capuava, Goiânia</t>
        </is>
      </c>
      <c r="G107" s="6" t="inlineStr">
        <is>
          <t>(62) 99210-5147</t>
        </is>
      </c>
      <c r="H107" s="6" t="inlineStr"/>
      <c r="I107" s="6" t="inlineStr"/>
      <c r="J107" s="6" t="inlineStr"/>
      <c r="K107" s="3" t="inlineStr">
        <is>
          <t>Cadastro Único, Bolsa Família, BPC e benefícios estaduais. Fonte: Seds/GO, 18/10/2024.</t>
        </is>
      </c>
      <c r="L107" s="3" t="inlineStr">
        <is>
          <t>Seds/GO, 18/10/2024</t>
        </is>
      </c>
      <c r="M107" s="7" t="inlineStr">
        <is>
          <t>Ativo</t>
        </is>
      </c>
      <c r="N107" s="8" t="n">
        <v>45583</v>
      </c>
      <c r="O107" s="7" t="inlineStr">
        <is>
          <t>Data da fonte</t>
        </is>
      </c>
      <c r="P107" s="6">
        <f>IF($A107="","",IF($M107="Inativo","Não",IF($N107="","Sim",IF(TODAY()-$N107&gt;180,"Sim","Não"))))</f>
        <v/>
      </c>
    </row>
    <row r="108">
      <c r="A108" s="6" t="inlineStr">
        <is>
          <t>cras6</t>
        </is>
      </c>
      <c r="B108" s="3" t="inlineStr">
        <is>
          <t>CRAS Cerrado</t>
        </is>
      </c>
      <c r="C108" s="6" t="inlineStr">
        <is>
          <t>CRAS</t>
        </is>
      </c>
      <c r="D108" s="6" t="inlineStr">
        <is>
          <t>Goiânia</t>
        </is>
      </c>
      <c r="E108" s="6" t="inlineStr"/>
      <c r="F108" s="3" t="inlineStr">
        <is>
          <t>Rua Flor da Noite, APM 4, Jardim Cerrado III, Goiânia</t>
        </is>
      </c>
      <c r="G108" s="6" t="inlineStr">
        <is>
          <t>(62) 99204-6164</t>
        </is>
      </c>
      <c r="H108" s="6" t="inlineStr"/>
      <c r="I108" s="6" t="inlineStr"/>
      <c r="J108" s="6" t="inlineStr"/>
      <c r="K108" s="3" t="inlineStr">
        <is>
          <t>Cadastro Único, Bolsa Família, BPC e benefícios estaduais. Fonte: Seds/GO, 18/10/2024.</t>
        </is>
      </c>
      <c r="L108" s="3" t="inlineStr">
        <is>
          <t>Seds/GO, 18/10/2024</t>
        </is>
      </c>
      <c r="M108" s="7" t="inlineStr">
        <is>
          <t>Ativo</t>
        </is>
      </c>
      <c r="N108" s="8" t="n">
        <v>45583</v>
      </c>
      <c r="O108" s="7" t="inlineStr">
        <is>
          <t>Data da fonte</t>
        </is>
      </c>
      <c r="P108" s="6">
        <f>IF($A108="","",IF($M108="Inativo","Não",IF($N108="","Sim",IF(TODAY()-$N108&gt;180,"Sim","Não"))))</f>
        <v/>
      </c>
    </row>
    <row r="109">
      <c r="A109" s="6" t="inlineStr">
        <is>
          <t>cras7</t>
        </is>
      </c>
      <c r="B109" s="3" t="inlineStr">
        <is>
          <t>CRAS Colorado</t>
        </is>
      </c>
      <c r="C109" s="6" t="inlineStr">
        <is>
          <t>CRAS</t>
        </is>
      </c>
      <c r="D109" s="6" t="inlineStr">
        <is>
          <t>Goiânia</t>
        </is>
      </c>
      <c r="E109" s="6" t="inlineStr"/>
      <c r="F109" s="3" t="inlineStr">
        <is>
          <t>Av. do Contorno, Qd. 21, Lt. 09, Jardim Colorado, Goiânia</t>
        </is>
      </c>
      <c r="G109" s="6" t="inlineStr">
        <is>
          <t>(62) 99207-5964</t>
        </is>
      </c>
      <c r="H109" s="6" t="inlineStr"/>
      <c r="I109" s="6" t="inlineStr"/>
      <c r="J109" s="6" t="inlineStr"/>
      <c r="K109" s="3" t="inlineStr">
        <is>
          <t>Cadastro Único, Bolsa Família, BPC e benefícios estaduais. Fonte: Seds/GO, 18/10/2024.</t>
        </is>
      </c>
      <c r="L109" s="3" t="inlineStr">
        <is>
          <t>Seds/GO, 18/10/2024</t>
        </is>
      </c>
      <c r="M109" s="7" t="inlineStr">
        <is>
          <t>Ativo</t>
        </is>
      </c>
      <c r="N109" s="8" t="n">
        <v>45583</v>
      </c>
      <c r="O109" s="7" t="inlineStr">
        <is>
          <t>Data da fonte</t>
        </is>
      </c>
      <c r="P109" s="6">
        <f>IF($A109="","",IF($M109="Inativo","Não",IF($N109="","Sim",IF(TODAY()-$N109&gt;180,"Sim","Não"))))</f>
        <v/>
      </c>
    </row>
    <row r="110">
      <c r="A110" s="6" t="inlineStr">
        <is>
          <t>cras8</t>
        </is>
      </c>
      <c r="B110" s="3" t="inlineStr">
        <is>
          <t>CRAS Curitiba</t>
        </is>
      </c>
      <c r="C110" s="6" t="inlineStr">
        <is>
          <t>CRAS</t>
        </is>
      </c>
      <c r="D110" s="6" t="inlineStr">
        <is>
          <t>Goiânia</t>
        </is>
      </c>
      <c r="E110" s="6" t="inlineStr"/>
      <c r="F110" s="3" t="inlineStr">
        <is>
          <t>Av. JC-22, Qd. 12-A, Lt. 1/15, Jardim Curitiba II, Goiânia</t>
        </is>
      </c>
      <c r="G110" s="6" t="inlineStr">
        <is>
          <t>(62) 99210-8976</t>
        </is>
      </c>
      <c r="H110" s="6" t="inlineStr"/>
      <c r="I110" s="6" t="inlineStr"/>
      <c r="J110" s="6" t="inlineStr"/>
      <c r="K110" s="3" t="inlineStr">
        <is>
          <t>Cadastro Único, Bolsa Família, BPC e benefícios estaduais. Fonte: Seds/GO, 18/10/2024.</t>
        </is>
      </c>
      <c r="L110" s="3" t="inlineStr">
        <is>
          <t>Seds/GO, 18/10/2024</t>
        </is>
      </c>
      <c r="M110" s="7" t="inlineStr">
        <is>
          <t>Ativo</t>
        </is>
      </c>
      <c r="N110" s="8" t="n">
        <v>45583</v>
      </c>
      <c r="O110" s="7" t="inlineStr">
        <is>
          <t>Data da fonte</t>
        </is>
      </c>
      <c r="P110" s="6">
        <f>IF($A110="","",IF($M110="Inativo","Não",IF($N110="","Sim",IF(TODAY()-$N110&gt;180,"Sim","Não"))))</f>
        <v/>
      </c>
    </row>
    <row r="111">
      <c r="A111" s="6" t="inlineStr">
        <is>
          <t>cras9</t>
        </is>
      </c>
      <c r="B111" s="3" t="inlineStr">
        <is>
          <t>CRAS Finsocial</t>
        </is>
      </c>
      <c r="C111" s="6" t="inlineStr">
        <is>
          <t>CRAS</t>
        </is>
      </c>
      <c r="D111" s="6" t="inlineStr">
        <is>
          <t>Goiânia</t>
        </is>
      </c>
      <c r="E111" s="6" t="inlineStr"/>
      <c r="F111" s="3" t="inlineStr">
        <is>
          <t>Rua VF-42, Praça 34, s/n, Vila Finsocial, Goiânia</t>
        </is>
      </c>
      <c r="G111" s="6" t="inlineStr">
        <is>
          <t>(62) 99207-5854</t>
        </is>
      </c>
      <c r="H111" s="6" t="inlineStr"/>
      <c r="I111" s="6" t="inlineStr"/>
      <c r="J111" s="6" t="inlineStr"/>
      <c r="K111" s="3" t="inlineStr">
        <is>
          <t>Cadastro Único, Bolsa Família, BPC e benefícios estaduais. Fonte: Seds/GO, 18/10/2024.</t>
        </is>
      </c>
      <c r="L111" s="3" t="inlineStr">
        <is>
          <t>Seds/GO, 18/10/2024</t>
        </is>
      </c>
      <c r="M111" s="7" t="inlineStr">
        <is>
          <t>Ativo</t>
        </is>
      </c>
      <c r="N111" s="8" t="n">
        <v>45583</v>
      </c>
      <c r="O111" s="7" t="inlineStr">
        <is>
          <t>Data da fonte</t>
        </is>
      </c>
      <c r="P111" s="6">
        <f>IF($A111="","",IF($M111="Inativo","Não",IF($N111="","Sim",IF(TODAY()-$N111&gt;180,"Sim","Não"))))</f>
        <v/>
      </c>
    </row>
    <row r="112">
      <c r="A112" s="6" t="inlineStr">
        <is>
          <t>cras10</t>
        </is>
      </c>
      <c r="B112" s="3" t="inlineStr">
        <is>
          <t>CRAS Floresta</t>
        </is>
      </c>
      <c r="C112" s="6" t="inlineStr">
        <is>
          <t>CRAS</t>
        </is>
      </c>
      <c r="D112" s="6" t="inlineStr">
        <is>
          <t>Goiânia</t>
        </is>
      </c>
      <c r="E112" s="6" t="inlineStr"/>
      <c r="F112" s="3" t="inlineStr">
        <is>
          <t>Av. da Conquista, Qd. 25, Bairro Floresta, Goiânia</t>
        </is>
      </c>
      <c r="G112" s="6" t="inlineStr">
        <is>
          <t>(62) 99205-9123</t>
        </is>
      </c>
      <c r="H112" s="6" t="inlineStr"/>
      <c r="I112" s="6" t="inlineStr"/>
      <c r="J112" s="6" t="inlineStr"/>
      <c r="K112" s="3" t="inlineStr">
        <is>
          <t>Cadastro Único, Bolsa Família, BPC e benefícios estaduais. Fonte: Seds/GO, 18/10/2024.</t>
        </is>
      </c>
      <c r="L112" s="3" t="inlineStr">
        <is>
          <t>Seds/GO, 18/10/2024</t>
        </is>
      </c>
      <c r="M112" s="7" t="inlineStr">
        <is>
          <t>Ativo</t>
        </is>
      </c>
      <c r="N112" s="8" t="n">
        <v>45583</v>
      </c>
      <c r="O112" s="7" t="inlineStr">
        <is>
          <t>Data da fonte</t>
        </is>
      </c>
      <c r="P112" s="6">
        <f>IF($A112="","",IF($M112="Inativo","Não",IF($N112="","Sim",IF(TODAY()-$N112&gt;180,"Sim","Não"))))</f>
        <v/>
      </c>
    </row>
    <row r="113">
      <c r="A113" s="6" t="inlineStr">
        <is>
          <t>cras11</t>
        </is>
      </c>
      <c r="B113" s="3" t="inlineStr">
        <is>
          <t>CRAS Goiá</t>
        </is>
      </c>
      <c r="C113" s="6" t="inlineStr">
        <is>
          <t>CRAS</t>
        </is>
      </c>
      <c r="D113" s="6" t="inlineStr">
        <is>
          <t>Goiânia</t>
        </is>
      </c>
      <c r="E113" s="6" t="inlineStr"/>
      <c r="F113" s="3" t="inlineStr">
        <is>
          <t>Rua Padre Benedito Dias, Qd. 57-A, Bairro Goiá, Goiânia</t>
        </is>
      </c>
      <c r="G113" s="6" t="inlineStr">
        <is>
          <t>(62) 99210-6386</t>
        </is>
      </c>
      <c r="H113" s="6" t="inlineStr"/>
      <c r="I113" s="6" t="inlineStr"/>
      <c r="J113" s="6" t="inlineStr"/>
      <c r="K113" s="3" t="inlineStr">
        <is>
          <t>Cadastro Único, Bolsa Família, BPC e benefícios estaduais. Fonte: Seds/GO, 18/10/2024.</t>
        </is>
      </c>
      <c r="L113" s="3" t="inlineStr">
        <is>
          <t>Seds/GO, 18/10/2024</t>
        </is>
      </c>
      <c r="M113" s="7" t="inlineStr">
        <is>
          <t>Ativo</t>
        </is>
      </c>
      <c r="N113" s="8" t="n">
        <v>45583</v>
      </c>
      <c r="O113" s="7" t="inlineStr">
        <is>
          <t>Data da fonte</t>
        </is>
      </c>
      <c r="P113" s="6">
        <f>IF($A113="","",IF($M113="Inativo","Não",IF($N113="","Sim",IF(TODAY()-$N113&gt;180,"Sim","Não"))))</f>
        <v/>
      </c>
    </row>
    <row r="114">
      <c r="A114" s="6" t="inlineStr">
        <is>
          <t>cras12</t>
        </is>
      </c>
      <c r="B114" s="3" t="inlineStr">
        <is>
          <t>CRAS Guanabara</t>
        </is>
      </c>
      <c r="C114" s="6" t="inlineStr">
        <is>
          <t>CRAS</t>
        </is>
      </c>
      <c r="D114" s="6" t="inlineStr">
        <is>
          <t>Goiânia</t>
        </is>
      </c>
      <c r="E114" s="6" t="inlineStr"/>
      <c r="F114" s="3" t="inlineStr">
        <is>
          <t>Rua GB-19, Qd. 20, Lt. 17, Jardim Guanabara 2, Goiânia</t>
        </is>
      </c>
      <c r="G114" s="6" t="inlineStr">
        <is>
          <t>(62) 99208-2569</t>
        </is>
      </c>
      <c r="H114" s="6" t="inlineStr"/>
      <c r="I114" s="6" t="inlineStr"/>
      <c r="J114" s="6" t="inlineStr"/>
      <c r="K114" s="3" t="inlineStr">
        <is>
          <t>Cadastro Único, Bolsa Família, BPC e benefícios estaduais. Fonte: Seds/GO, 18/10/2024.</t>
        </is>
      </c>
      <c r="L114" s="3" t="inlineStr">
        <is>
          <t>Seds/GO, 18/10/2024</t>
        </is>
      </c>
      <c r="M114" s="7" t="inlineStr">
        <is>
          <t>Ativo</t>
        </is>
      </c>
      <c r="N114" s="8" t="n">
        <v>45583</v>
      </c>
      <c r="O114" s="7" t="inlineStr">
        <is>
          <t>Data da fonte</t>
        </is>
      </c>
      <c r="P114" s="6">
        <f>IF($A114="","",IF($M114="Inativo","Não",IF($N114="","Sim",IF(TODAY()-$N114&gt;180,"Sim","Não"))))</f>
        <v/>
      </c>
    </row>
    <row r="115">
      <c r="A115" s="6" t="inlineStr">
        <is>
          <t>cras13</t>
        </is>
      </c>
      <c r="B115" s="3" t="inlineStr">
        <is>
          <t>CRAS Isaura</t>
        </is>
      </c>
      <c r="C115" s="6" t="inlineStr">
        <is>
          <t>CRAS</t>
        </is>
      </c>
      <c r="D115" s="6" t="inlineStr">
        <is>
          <t>Goiânia</t>
        </is>
      </c>
      <c r="E115" s="6" t="inlineStr"/>
      <c r="F115" s="3" t="inlineStr">
        <is>
          <t>Rua 9, Qd. A, Lt. 14, Vila Isaura, Goiânia</t>
        </is>
      </c>
      <c r="G115" s="6" t="inlineStr">
        <is>
          <t>(62) 99207-0369</t>
        </is>
      </c>
      <c r="H115" s="6" t="inlineStr"/>
      <c r="I115" s="6" t="inlineStr"/>
      <c r="J115" s="6" t="inlineStr"/>
      <c r="K115" s="3" t="inlineStr">
        <is>
          <t>Cadastro Único, Bolsa Família, BPC e benefícios estaduais. Fonte: Seds/GO, 18/10/2024.</t>
        </is>
      </c>
      <c r="L115" s="3" t="inlineStr">
        <is>
          <t>Seds/GO, 18/10/2024</t>
        </is>
      </c>
      <c r="M115" s="7" t="inlineStr">
        <is>
          <t>Ativo</t>
        </is>
      </c>
      <c r="N115" s="8" t="n">
        <v>45583</v>
      </c>
      <c r="O115" s="7" t="inlineStr">
        <is>
          <t>Data da fonte</t>
        </is>
      </c>
      <c r="P115" s="6">
        <f>IF($A115="","",IF($M115="Inativo","Não",IF($N115="","Sim",IF(TODAY()-$N115&gt;180,"Sim","Não"))))</f>
        <v/>
      </c>
    </row>
    <row r="116">
      <c r="A116" s="6" t="inlineStr">
        <is>
          <t>cras14</t>
        </is>
      </c>
      <c r="B116" s="3" t="inlineStr">
        <is>
          <t>CRAS Novo Horizonte</t>
        </is>
      </c>
      <c r="C116" s="6" t="inlineStr">
        <is>
          <t>CRAS</t>
        </is>
      </c>
      <c r="D116" s="6" t="inlineStr">
        <is>
          <t>Goiânia</t>
        </is>
      </c>
      <c r="E116" s="6" t="inlineStr"/>
      <c r="F116" s="3" t="inlineStr">
        <is>
          <t>Av. Maurício Gomes, s/n, Vila Novo Horizonte, Goiânia</t>
        </is>
      </c>
      <c r="G116" s="6" t="inlineStr">
        <is>
          <t>(62) 99203-9564</t>
        </is>
      </c>
      <c r="H116" s="6" t="inlineStr"/>
      <c r="I116" s="6" t="inlineStr"/>
      <c r="J116" s="6" t="inlineStr"/>
      <c r="K116" s="3" t="inlineStr">
        <is>
          <t>Cadastro Único, Bolsa Família, BPC e benefícios estaduais. Fonte: Seds/GO, 18/10/2024.</t>
        </is>
      </c>
      <c r="L116" s="3" t="inlineStr">
        <is>
          <t>Seds/GO, 18/10/2024</t>
        </is>
      </c>
      <c r="M116" s="7" t="inlineStr">
        <is>
          <t>Ativo</t>
        </is>
      </c>
      <c r="N116" s="8" t="n">
        <v>45583</v>
      </c>
      <c r="O116" s="7" t="inlineStr">
        <is>
          <t>Data da fonte</t>
        </is>
      </c>
      <c r="P116" s="6">
        <f>IF($A116="","",IF($M116="Inativo","Não",IF($N116="","Sim",IF(TODAY()-$N116&gt;180,"Sim","Não"))))</f>
        <v/>
      </c>
    </row>
    <row r="117">
      <c r="A117" s="6" t="inlineStr">
        <is>
          <t>cras15</t>
        </is>
      </c>
      <c r="B117" s="3" t="inlineStr">
        <is>
          <t>CRAS Novo Mundo</t>
        </is>
      </c>
      <c r="C117" s="6" t="inlineStr">
        <is>
          <t>CRAS</t>
        </is>
      </c>
      <c r="D117" s="6" t="inlineStr">
        <is>
          <t>Goiânia</t>
        </is>
      </c>
      <c r="E117" s="6" t="inlineStr"/>
      <c r="F117" s="3" t="inlineStr">
        <is>
          <t>Praça Washington Luiz, Qd. Área, Lt. 01, Jd. Novo Mundo, Goiânia</t>
        </is>
      </c>
      <c r="G117" s="6" t="inlineStr">
        <is>
          <t>(62) 99210-4247</t>
        </is>
      </c>
      <c r="H117" s="6" t="inlineStr"/>
      <c r="I117" s="6" t="inlineStr"/>
      <c r="J117" s="6" t="inlineStr"/>
      <c r="K117" s="3" t="inlineStr">
        <is>
          <t>Cadastro Único, Bolsa Família, BPC e benefícios estaduais. Fonte: Seds/GO, 18/10/2024.</t>
        </is>
      </c>
      <c r="L117" s="3" t="inlineStr">
        <is>
          <t>Seds/GO, 18/10/2024</t>
        </is>
      </c>
      <c r="M117" s="7" t="inlineStr">
        <is>
          <t>Ativo</t>
        </is>
      </c>
      <c r="N117" s="8" t="n">
        <v>45583</v>
      </c>
      <c r="O117" s="7" t="inlineStr">
        <is>
          <t>Data da fonte</t>
        </is>
      </c>
      <c r="P117" s="6">
        <f>IF($A117="","",IF($M117="Inativo","Não",IF($N117="","Sim",IF(TODAY()-$N117&gt;180,"Sim","Não"))))</f>
        <v/>
      </c>
    </row>
    <row r="118">
      <c r="A118" s="6" t="inlineStr">
        <is>
          <t>cras16</t>
        </is>
      </c>
      <c r="B118" s="3" t="inlineStr">
        <is>
          <t>CRAS Parque Atheneu</t>
        </is>
      </c>
      <c r="C118" s="6" t="inlineStr">
        <is>
          <t>CRAS</t>
        </is>
      </c>
      <c r="D118" s="6" t="inlineStr">
        <is>
          <t>Goiânia</t>
        </is>
      </c>
      <c r="E118" s="6" t="inlineStr"/>
      <c r="F118" s="3" t="inlineStr">
        <is>
          <t>Rua 2.012, Qd. Z, Lt. 26, Unid. 201, Parque Atheneu, Goiânia</t>
        </is>
      </c>
      <c r="G118" s="6" t="inlineStr">
        <is>
          <t>(62) 99205-2358</t>
        </is>
      </c>
      <c r="H118" s="6" t="inlineStr"/>
      <c r="I118" s="6" t="inlineStr"/>
      <c r="J118" s="6" t="inlineStr"/>
      <c r="K118" s="3" t="inlineStr">
        <is>
          <t>Cadastro Único, Bolsa Família, BPC e benefícios estaduais. Fonte: Seds/GO, 18/10/2024.</t>
        </is>
      </c>
      <c r="L118" s="3" t="inlineStr">
        <is>
          <t>Seds/GO, 18/10/2024</t>
        </is>
      </c>
      <c r="M118" s="7" t="inlineStr">
        <is>
          <t>Ativo</t>
        </is>
      </c>
      <c r="N118" s="8" t="n">
        <v>45583</v>
      </c>
      <c r="O118" s="7" t="inlineStr">
        <is>
          <t>Data da fonte</t>
        </is>
      </c>
      <c r="P118" s="6">
        <f>IF($A118="","",IF($M118="Inativo","Não",IF($N118="","Sim",IF(TODAY()-$N118&gt;180,"Sim","Não"))))</f>
        <v/>
      </c>
    </row>
    <row r="119">
      <c r="A119" s="6" t="inlineStr">
        <is>
          <t>cras17</t>
        </is>
      </c>
      <c r="B119" s="3" t="inlineStr">
        <is>
          <t>CRAS Pedro Ludovico</t>
        </is>
      </c>
      <c r="C119" s="6" t="inlineStr">
        <is>
          <t>CRAS</t>
        </is>
      </c>
      <c r="D119" s="6" t="inlineStr">
        <is>
          <t>Goiânia</t>
        </is>
      </c>
      <c r="E119" s="6" t="inlineStr"/>
      <c r="F119" s="3" t="inlineStr">
        <is>
          <t>Praça Central, Qd. 60, Lt. 7 e 8, Setor Pedro Ludovico, Goiânia</t>
        </is>
      </c>
      <c r="G119" s="6" t="inlineStr">
        <is>
          <t>(62) 99204-7300</t>
        </is>
      </c>
      <c r="H119" s="6" t="inlineStr"/>
      <c r="I119" s="6" t="inlineStr"/>
      <c r="J119" s="6" t="inlineStr"/>
      <c r="K119" s="3" t="inlineStr">
        <is>
          <t>Cadastro Único, Bolsa Família, BPC e benefícios estaduais. Fonte: Seds/GO, 18/10/2024.</t>
        </is>
      </c>
      <c r="L119" s="3" t="inlineStr">
        <is>
          <t>Seds/GO, 18/10/2024</t>
        </is>
      </c>
      <c r="M119" s="7" t="inlineStr">
        <is>
          <t>Ativo</t>
        </is>
      </c>
      <c r="N119" s="8" t="n">
        <v>45583</v>
      </c>
      <c r="O119" s="7" t="inlineStr">
        <is>
          <t>Data da fonte</t>
        </is>
      </c>
      <c r="P119" s="6">
        <f>IF($A119="","",IF($M119="Inativo","Não",IF($N119="","Sim",IF(TODAY()-$N119&gt;180,"Sim","Não"))))</f>
        <v/>
      </c>
    </row>
    <row r="120">
      <c r="A120" s="6" t="inlineStr">
        <is>
          <t>cras18</t>
        </is>
      </c>
      <c r="B120" s="3" t="inlineStr">
        <is>
          <t>CRAS Real Conquista</t>
        </is>
      </c>
      <c r="C120" s="6" t="inlineStr">
        <is>
          <t>CRAS</t>
        </is>
      </c>
      <c r="D120" s="6" t="inlineStr">
        <is>
          <t>Goiânia</t>
        </is>
      </c>
      <c r="E120" s="6" t="inlineStr"/>
      <c r="F120" s="3" t="inlineStr">
        <is>
          <t>Rua RC-10 c/ Av. Real Conquista, APM 10, Residencial Real Conquista, Goiânia</t>
        </is>
      </c>
      <c r="G120" s="6" t="inlineStr">
        <is>
          <t>(62) 99210-4621</t>
        </is>
      </c>
      <c r="H120" s="6" t="inlineStr"/>
      <c r="I120" s="6" t="inlineStr"/>
      <c r="J120" s="6" t="inlineStr"/>
      <c r="K120" s="3" t="inlineStr">
        <is>
          <t>Cadastro Único, Bolsa Família, BPC e benefícios estaduais. Fonte: Seds/GO, 18/10/2024.</t>
        </is>
      </c>
      <c r="L120" s="3" t="inlineStr">
        <is>
          <t>Seds/GO, 18/10/2024</t>
        </is>
      </c>
      <c r="M120" s="7" t="inlineStr">
        <is>
          <t>Ativo</t>
        </is>
      </c>
      <c r="N120" s="8" t="n">
        <v>45583</v>
      </c>
      <c r="O120" s="7" t="inlineStr">
        <is>
          <t>Data da fonte</t>
        </is>
      </c>
      <c r="P120" s="6">
        <f>IF($A120="","",IF($M120="Inativo","Não",IF($N120="","Sim",IF(TODAY()-$N120&gt;180,"Sim","Não"))))</f>
        <v/>
      </c>
    </row>
    <row r="121">
      <c r="A121" s="6" t="inlineStr">
        <is>
          <t>cras19</t>
        </is>
      </c>
      <c r="B121" s="3" t="inlineStr">
        <is>
          <t>CRAS Recanto das Minas Gerais</t>
        </is>
      </c>
      <c r="C121" s="6" t="inlineStr">
        <is>
          <t>CRAS</t>
        </is>
      </c>
      <c r="D121" s="6" t="inlineStr">
        <is>
          <t>Goiânia</t>
        </is>
      </c>
      <c r="E121" s="6" t="inlineStr"/>
      <c r="F121" s="3" t="inlineStr">
        <is>
          <t>Rua SR-01, Chácara 7, Setor Recanto das Minas Gerais, Goiânia</t>
        </is>
      </c>
      <c r="G121" s="6" t="inlineStr">
        <is>
          <t>(62) 99210-4591</t>
        </is>
      </c>
      <c r="H121" s="6" t="inlineStr"/>
      <c r="I121" s="6" t="inlineStr"/>
      <c r="J121" s="6" t="inlineStr"/>
      <c r="K121" s="3" t="inlineStr">
        <is>
          <t>Cadastro Único, Bolsa Família, BPC e benefícios estaduais. Fonte: Seds/GO, 18/10/2024.</t>
        </is>
      </c>
      <c r="L121" s="3" t="inlineStr">
        <is>
          <t>Seds/GO, 18/10/2024</t>
        </is>
      </c>
      <c r="M121" s="7" t="inlineStr">
        <is>
          <t>Ativo</t>
        </is>
      </c>
      <c r="N121" s="8" t="n">
        <v>45583</v>
      </c>
      <c r="O121" s="7" t="inlineStr">
        <is>
          <t>Data da fonte</t>
        </is>
      </c>
      <c r="P121" s="6">
        <f>IF($A121="","",IF($M121="Inativo","Não",IF($N121="","Sim",IF(TODAY()-$N121&gt;180,"Sim","Não"))))</f>
        <v/>
      </c>
    </row>
    <row r="122">
      <c r="A122" s="6" t="inlineStr">
        <is>
          <t>cras20</t>
        </is>
      </c>
      <c r="B122" s="3" t="inlineStr">
        <is>
          <t>CRAS Recanto do Bosque</t>
        </is>
      </c>
      <c r="C122" s="6" t="inlineStr">
        <is>
          <t>CRAS</t>
        </is>
      </c>
      <c r="D122" s="6" t="inlineStr">
        <is>
          <t>Goiânia</t>
        </is>
      </c>
      <c r="E122" s="6" t="inlineStr"/>
      <c r="F122" s="3" t="inlineStr">
        <is>
          <t>Rua RB-20, APM 26, Residencial Recanto do Bosque, Goiânia</t>
        </is>
      </c>
      <c r="G122" s="6" t="inlineStr">
        <is>
          <t>(62) 99206-0317</t>
        </is>
      </c>
      <c r="H122" s="6" t="inlineStr"/>
      <c r="I122" s="6" t="inlineStr"/>
      <c r="J122" s="6" t="inlineStr"/>
      <c r="K122" s="3" t="inlineStr">
        <is>
          <t>Cadastro Único, Bolsa Família, BPC e benefícios estaduais. Fonte: Seds/GO, 18/10/2024.</t>
        </is>
      </c>
      <c r="L122" s="3" t="inlineStr">
        <is>
          <t>Seds/GO, 18/10/2024</t>
        </is>
      </c>
      <c r="M122" s="7" t="inlineStr">
        <is>
          <t>Ativo</t>
        </is>
      </c>
      <c r="N122" s="8" t="n">
        <v>45583</v>
      </c>
      <c r="O122" s="7" t="inlineStr">
        <is>
          <t>Data da fonte</t>
        </is>
      </c>
      <c r="P122" s="6">
        <f>IF($A122="","",IF($M122="Inativo","Não",IF($N122="","Sim",IF(TODAY()-$N122&gt;180,"Sim","Não"))))</f>
        <v/>
      </c>
    </row>
    <row r="123">
      <c r="A123" s="6" t="inlineStr">
        <is>
          <t>cras21</t>
        </is>
      </c>
      <c r="B123" s="3" t="inlineStr">
        <is>
          <t>CRAS Redenção</t>
        </is>
      </c>
      <c r="C123" s="6" t="inlineStr">
        <is>
          <t>CRAS</t>
        </is>
      </c>
      <c r="D123" s="6" t="inlineStr">
        <is>
          <t>Goiânia</t>
        </is>
      </c>
      <c r="E123" s="6" t="inlineStr"/>
      <c r="F123" s="3" t="inlineStr">
        <is>
          <t>Rua R-7 esq. c/ Alameda Jardim Botânico, Vila Redenção, Goiânia</t>
        </is>
      </c>
      <c r="G123" s="6" t="inlineStr">
        <is>
          <t>(62) 99208-0392</t>
        </is>
      </c>
      <c r="H123" s="6" t="inlineStr"/>
      <c r="I123" s="6" t="inlineStr"/>
      <c r="J123" s="6" t="inlineStr"/>
      <c r="K123" s="3" t="inlineStr">
        <is>
          <t>Cadastro Único, Bolsa Família, BPC e benefícios estaduais. Fonte: Seds/GO, 18/10/2024.</t>
        </is>
      </c>
      <c r="L123" s="3" t="inlineStr">
        <is>
          <t>Seds/GO, 18/10/2024</t>
        </is>
      </c>
      <c r="M123" s="7" t="inlineStr">
        <is>
          <t>Ativo</t>
        </is>
      </c>
      <c r="N123" s="8" t="n">
        <v>45583</v>
      </c>
      <c r="O123" s="7" t="inlineStr">
        <is>
          <t>Data da fonte</t>
        </is>
      </c>
      <c r="P123" s="6">
        <f>IF($A123="","",IF($M123="Inativo","Não",IF($N123="","Sim",IF(TODAY()-$N123&gt;180,"Sim","Não"))))</f>
        <v/>
      </c>
    </row>
    <row r="124">
      <c r="A124" s="6" t="inlineStr">
        <is>
          <t>cras22</t>
        </is>
      </c>
      <c r="B124" s="3" t="inlineStr">
        <is>
          <t>CRAS Rio Verde</t>
        </is>
      </c>
      <c r="C124" s="6" t="inlineStr">
        <is>
          <t>CRAS</t>
        </is>
      </c>
      <c r="D124" s="6" t="inlineStr">
        <is>
          <t>Goiânia</t>
        </is>
      </c>
      <c r="E124" s="6" t="inlineStr"/>
      <c r="F124" s="3" t="inlineStr">
        <is>
          <t>Rua RV 02, Qd. 03, Lt. 01, Residencial Rio Verde, Goiânia</t>
        </is>
      </c>
      <c r="G124" s="6" t="inlineStr">
        <is>
          <t>(62) 99210-8255</t>
        </is>
      </c>
      <c r="H124" s="6" t="inlineStr"/>
      <c r="I124" s="6" t="inlineStr"/>
      <c r="J124" s="6" t="inlineStr"/>
      <c r="K124" s="3" t="inlineStr">
        <is>
          <t>Cadastro Único, Bolsa Família, BPC e benefícios estaduais. Fonte: Seds/GO, 18/10/2024.</t>
        </is>
      </c>
      <c r="L124" s="3" t="inlineStr">
        <is>
          <t>Seds/GO, 18/10/2024</t>
        </is>
      </c>
      <c r="M124" s="7" t="inlineStr">
        <is>
          <t>Ativo</t>
        </is>
      </c>
      <c r="N124" s="8" t="n">
        <v>45583</v>
      </c>
      <c r="O124" s="7" t="inlineStr">
        <is>
          <t>Data da fonte</t>
        </is>
      </c>
      <c r="P124" s="6">
        <f>IF($A124="","",IF($M124="Inativo","Não",IF($N124="","Sim",IF(TODAY()-$N124&gt;180,"Sim","Não"))))</f>
        <v/>
      </c>
    </row>
    <row r="125">
      <c r="A125" s="6" t="inlineStr">
        <is>
          <t>cras23</t>
        </is>
      </c>
      <c r="B125" s="3" t="inlineStr">
        <is>
          <t>CRAS Santo Afonso</t>
        </is>
      </c>
      <c r="C125" s="6" t="inlineStr">
        <is>
          <t>CRAS</t>
        </is>
      </c>
      <c r="D125" s="6" t="inlineStr">
        <is>
          <t>Goiânia</t>
        </is>
      </c>
      <c r="E125" s="6" t="inlineStr"/>
      <c r="F125" s="3" t="inlineStr">
        <is>
          <t>Rua Princesa Isabel, s/n, Qd. 92, Lt. 24, Vila Aurora Oeste, Goiânia</t>
        </is>
      </c>
      <c r="G125" s="6" t="inlineStr">
        <is>
          <t>(62) 99204-5315</t>
        </is>
      </c>
      <c r="H125" s="6" t="inlineStr"/>
      <c r="I125" s="6" t="inlineStr"/>
      <c r="J125" s="6" t="inlineStr"/>
      <c r="K125" s="3" t="inlineStr">
        <is>
          <t>Cadastro Único, Bolsa Família, BPC e benefícios estaduais. Fonte: Seds/GO, 18/10/2024.</t>
        </is>
      </c>
      <c r="L125" s="3" t="inlineStr">
        <is>
          <t>Seds/GO, 18/10/2024</t>
        </is>
      </c>
      <c r="M125" s="7" t="inlineStr">
        <is>
          <t>Ativo</t>
        </is>
      </c>
      <c r="N125" s="8" t="n">
        <v>45583</v>
      </c>
      <c r="O125" s="7" t="inlineStr">
        <is>
          <t>Data da fonte</t>
        </is>
      </c>
      <c r="P125" s="6">
        <f>IF($A125="","",IF($M125="Inativo","Não",IF($N125="","Sim",IF(TODAY()-$N125&gt;180,"Sim","Não"))))</f>
        <v/>
      </c>
    </row>
    <row r="126">
      <c r="A126" s="6" t="inlineStr">
        <is>
          <t>cras24</t>
        </is>
      </c>
      <c r="B126" s="3" t="inlineStr">
        <is>
          <t>CRAS União</t>
        </is>
      </c>
      <c r="C126" s="6" t="inlineStr">
        <is>
          <t>CRAS</t>
        </is>
      </c>
      <c r="D126" s="6" t="inlineStr">
        <is>
          <t>Goiânia</t>
        </is>
      </c>
      <c r="E126" s="6" t="inlineStr"/>
      <c r="F126" s="3" t="inlineStr">
        <is>
          <t>Rua U-47, s/n, Vila União, Goiânia</t>
        </is>
      </c>
      <c r="G126" s="6" t="inlineStr">
        <is>
          <t>(62) 99210-4012</t>
        </is>
      </c>
      <c r="H126" s="6" t="inlineStr"/>
      <c r="I126" s="6" t="inlineStr"/>
      <c r="J126" s="6" t="inlineStr"/>
      <c r="K126" s="3" t="inlineStr">
        <is>
          <t>Cadastro Único, Bolsa Família, BPC e benefícios estaduais. Fonte: Seds/GO, 18/10/2024.</t>
        </is>
      </c>
      <c r="L126" s="3" t="inlineStr">
        <is>
          <t>Seds/GO, 18/10/2024</t>
        </is>
      </c>
      <c r="M126" s="7" t="inlineStr">
        <is>
          <t>Ativo</t>
        </is>
      </c>
      <c r="N126" s="8" t="n">
        <v>45583</v>
      </c>
      <c r="O126" s="7" t="inlineStr">
        <is>
          <t>Data da fonte</t>
        </is>
      </c>
      <c r="P126" s="6">
        <f>IF($A126="","",IF($M126="Inativo","Não",IF($N126="","Sim",IF(TODAY()-$N126&gt;180,"Sim","Não"))))</f>
        <v/>
      </c>
    </row>
    <row r="127">
      <c r="A127" s="6" t="inlineStr">
        <is>
          <t>cras25</t>
        </is>
      </c>
      <c r="B127" s="3" t="inlineStr">
        <is>
          <t>CRAS Vera Cruz</t>
        </is>
      </c>
      <c r="C127" s="6" t="inlineStr">
        <is>
          <t>CRAS</t>
        </is>
      </c>
      <c r="D127" s="6" t="inlineStr">
        <is>
          <t>Goiânia</t>
        </is>
      </c>
      <c r="E127" s="6" t="inlineStr"/>
      <c r="F127" s="3" t="inlineStr">
        <is>
          <t>Av. Leopoldo de Bulhões, Qd. 100, Conjunto Vera Cruz II, Goiânia</t>
        </is>
      </c>
      <c r="G127" s="6" t="inlineStr">
        <is>
          <t>(62) 98599-2250</t>
        </is>
      </c>
      <c r="H127" s="6" t="inlineStr"/>
      <c r="I127" s="6" t="inlineStr"/>
      <c r="J127" s="6" t="inlineStr"/>
      <c r="K127" s="3" t="inlineStr">
        <is>
          <t>Cadastro Único, Bolsa Família, BPC e benefícios estaduais. Fonte: Seds/GO, 18/10/2024.</t>
        </is>
      </c>
      <c r="L127" s="3" t="inlineStr">
        <is>
          <t>Seds/GO, 18/10/2024</t>
        </is>
      </c>
      <c r="M127" s="7" t="inlineStr">
        <is>
          <t>Ativo</t>
        </is>
      </c>
      <c r="N127" s="8" t="n">
        <v>45583</v>
      </c>
      <c r="O127" s="7" t="inlineStr">
        <is>
          <t>Data da fonte</t>
        </is>
      </c>
      <c r="P127" s="6">
        <f>IF($A127="","",IF($M127="Inativo","Não",IF($N127="","Sim",IF(TODAY()-$N127&gt;180,"Sim","Não"))))</f>
        <v/>
      </c>
    </row>
    <row r="128">
      <c r="M128" s="9" t="n"/>
      <c r="N128" s="10" t="n"/>
      <c r="O128" s="9" t="n"/>
      <c r="P128" s="6">
        <f>IF($A128="","",IF($M128="Inativo","Não",IF($N128="","Sim",IF(TODAY()-$N128&gt;180,"Sim","Não"))))</f>
        <v/>
      </c>
    </row>
    <row r="129">
      <c r="M129" s="9" t="n"/>
      <c r="N129" s="10" t="n"/>
      <c r="O129" s="9" t="n"/>
      <c r="P129" s="6">
        <f>IF($A129="","",IF($M129="Inativo","Não",IF($N129="","Sim",IF(TODAY()-$N129&gt;180,"Sim","Não"))))</f>
        <v/>
      </c>
    </row>
    <row r="130">
      <c r="M130" s="9" t="n"/>
      <c r="N130" s="10" t="n"/>
      <c r="O130" s="9" t="n"/>
      <c r="P130" s="6">
        <f>IF($A130="","",IF($M130="Inativo","Não",IF($N130="","Sim",IF(TODAY()-$N130&gt;180,"Sim","Não"))))</f>
        <v/>
      </c>
    </row>
    <row r="131">
      <c r="M131" s="9" t="n"/>
      <c r="N131" s="10" t="n"/>
      <c r="O131" s="9" t="n"/>
      <c r="P131" s="6">
        <f>IF($A131="","",IF($M131="Inativo","Não",IF($N131="","Sim",IF(TODAY()-$N131&gt;180,"Sim","Não"))))</f>
        <v/>
      </c>
    </row>
    <row r="132">
      <c r="M132" s="9" t="n"/>
      <c r="N132" s="10" t="n"/>
      <c r="O132" s="9" t="n"/>
      <c r="P132" s="6">
        <f>IF($A132="","",IF($M132="Inativo","Não",IF($N132="","Sim",IF(TODAY()-$N132&gt;180,"Sim","Não"))))</f>
        <v/>
      </c>
    </row>
    <row r="133">
      <c r="M133" s="9" t="n"/>
      <c r="N133" s="10" t="n"/>
      <c r="O133" s="9" t="n"/>
      <c r="P133" s="6">
        <f>IF($A133="","",IF($M133="Inativo","Não",IF($N133="","Sim",IF(TODAY()-$N133&gt;180,"Sim","Não"))))</f>
        <v/>
      </c>
    </row>
    <row r="134">
      <c r="M134" s="9" t="n"/>
      <c r="N134" s="10" t="n"/>
      <c r="O134" s="9" t="n"/>
      <c r="P134" s="6">
        <f>IF($A134="","",IF($M134="Inativo","Não",IF($N134="","Sim",IF(TODAY()-$N134&gt;180,"Sim","Não"))))</f>
        <v/>
      </c>
    </row>
    <row r="135">
      <c r="M135" s="9" t="n"/>
      <c r="N135" s="10" t="n"/>
      <c r="O135" s="9" t="n"/>
      <c r="P135" s="6">
        <f>IF($A135="","",IF($M135="Inativo","Não",IF($N135="","Sim",IF(TODAY()-$N135&gt;180,"Sim","Não"))))</f>
        <v/>
      </c>
    </row>
    <row r="136">
      <c r="M136" s="9" t="n"/>
      <c r="N136" s="10" t="n"/>
      <c r="O136" s="9" t="n"/>
      <c r="P136" s="6">
        <f>IF($A136="","",IF($M136="Inativo","Não",IF($N136="","Sim",IF(TODAY()-$N136&gt;180,"Sim","Não"))))</f>
        <v/>
      </c>
    </row>
    <row r="137">
      <c r="M137" s="9" t="n"/>
      <c r="N137" s="10" t="n"/>
      <c r="O137" s="9" t="n"/>
      <c r="P137" s="6">
        <f>IF($A137="","",IF($M137="Inativo","Não",IF($N137="","Sim",IF(TODAY()-$N137&gt;180,"Sim","Não"))))</f>
        <v/>
      </c>
    </row>
    <row r="138">
      <c r="M138" s="9" t="n"/>
      <c r="N138" s="10" t="n"/>
      <c r="O138" s="9" t="n"/>
      <c r="P138" s="6">
        <f>IF($A138="","",IF($M138="Inativo","Não",IF($N138="","Sim",IF(TODAY()-$N138&gt;180,"Sim","Não"))))</f>
        <v/>
      </c>
    </row>
    <row r="139">
      <c r="M139" s="9" t="n"/>
      <c r="N139" s="10" t="n"/>
      <c r="O139" s="9" t="n"/>
      <c r="P139" s="6">
        <f>IF($A139="","",IF($M139="Inativo","Não",IF($N139="","Sim",IF(TODAY()-$N139&gt;180,"Sim","Não"))))</f>
        <v/>
      </c>
    </row>
    <row r="140">
      <c r="M140" s="9" t="n"/>
      <c r="N140" s="10" t="n"/>
      <c r="O140" s="9" t="n"/>
      <c r="P140" s="6">
        <f>IF($A140="","",IF($M140="Inativo","Não",IF($N140="","Sim",IF(TODAY()-$N140&gt;180,"Sim","Não"))))</f>
        <v/>
      </c>
    </row>
    <row r="141">
      <c r="M141" s="9" t="n"/>
      <c r="N141" s="10" t="n"/>
      <c r="O141" s="9" t="n"/>
      <c r="P141" s="6">
        <f>IF($A141="","",IF($M141="Inativo","Não",IF($N141="","Sim",IF(TODAY()-$N141&gt;180,"Sim","Não"))))</f>
        <v/>
      </c>
    </row>
    <row r="142">
      <c r="M142" s="9" t="n"/>
      <c r="N142" s="10" t="n"/>
      <c r="O142" s="9" t="n"/>
      <c r="P142" s="6">
        <f>IF($A142="","",IF($M142="Inativo","Não",IF($N142="","Sim",IF(TODAY()-$N142&gt;180,"Sim","Não"))))</f>
        <v/>
      </c>
    </row>
    <row r="143">
      <c r="M143" s="9" t="n"/>
      <c r="N143" s="10" t="n"/>
      <c r="O143" s="9" t="n"/>
      <c r="P143" s="6">
        <f>IF($A143="","",IF($M143="Inativo","Não",IF($N143="","Sim",IF(TODAY()-$N143&gt;180,"Sim","Não"))))</f>
        <v/>
      </c>
    </row>
    <row r="144">
      <c r="M144" s="9" t="n"/>
      <c r="N144" s="10" t="n"/>
      <c r="O144" s="9" t="n"/>
      <c r="P144" s="6">
        <f>IF($A144="","",IF($M144="Inativo","Não",IF($N144="","Sim",IF(TODAY()-$N144&gt;180,"Sim","Não"))))</f>
        <v/>
      </c>
    </row>
    <row r="145">
      <c r="M145" s="9" t="n"/>
      <c r="N145" s="10" t="n"/>
      <c r="O145" s="9" t="n"/>
      <c r="P145" s="6">
        <f>IF($A145="","",IF($M145="Inativo","Não",IF($N145="","Sim",IF(TODAY()-$N145&gt;180,"Sim","Não"))))</f>
        <v/>
      </c>
    </row>
    <row r="146">
      <c r="M146" s="9" t="n"/>
      <c r="N146" s="10" t="n"/>
      <c r="O146" s="9" t="n"/>
      <c r="P146" s="6">
        <f>IF($A146="","",IF($M146="Inativo","Não",IF($N146="","Sim",IF(TODAY()-$N146&gt;180,"Sim","Não"))))</f>
        <v/>
      </c>
    </row>
    <row r="147">
      <c r="M147" s="9" t="n"/>
      <c r="N147" s="10" t="n"/>
      <c r="O147" s="9" t="n"/>
      <c r="P147" s="6">
        <f>IF($A147="","",IF($M147="Inativo","Não",IF($N147="","Sim",IF(TODAY()-$N147&gt;180,"Sim","Não"))))</f>
        <v/>
      </c>
    </row>
    <row r="148">
      <c r="M148" s="9" t="n"/>
      <c r="N148" s="10" t="n"/>
      <c r="O148" s="9" t="n"/>
      <c r="P148" s="6">
        <f>IF($A148="","",IF($M148="Inativo","Não",IF($N148="","Sim",IF(TODAY()-$N148&gt;180,"Sim","Não"))))</f>
        <v/>
      </c>
    </row>
    <row r="149">
      <c r="M149" s="9" t="n"/>
      <c r="N149" s="10" t="n"/>
      <c r="O149" s="9" t="n"/>
      <c r="P149" s="6">
        <f>IF($A149="","",IF($M149="Inativo","Não",IF($N149="","Sim",IF(TODAY()-$N149&gt;180,"Sim","Não"))))</f>
        <v/>
      </c>
    </row>
    <row r="150">
      <c r="M150" s="9" t="n"/>
      <c r="N150" s="10" t="n"/>
      <c r="O150" s="9" t="n"/>
      <c r="P150" s="6">
        <f>IF($A150="","",IF($M150="Inativo","Não",IF($N150="","Sim",IF(TODAY()-$N150&gt;180,"Sim","Não"))))</f>
        <v/>
      </c>
    </row>
    <row r="151">
      <c r="M151" s="9" t="n"/>
      <c r="N151" s="10" t="n"/>
      <c r="O151" s="9" t="n"/>
      <c r="P151" s="6">
        <f>IF($A151="","",IF($M151="Inativo","Não",IF($N151="","Sim",IF(TODAY()-$N151&gt;180,"Sim","Não"))))</f>
        <v/>
      </c>
    </row>
    <row r="152">
      <c r="M152" s="9" t="n"/>
      <c r="N152" s="10" t="n"/>
      <c r="O152" s="9" t="n"/>
      <c r="P152" s="6">
        <f>IF($A152="","",IF($M152="Inativo","Não",IF($N152="","Sim",IF(TODAY()-$N152&gt;180,"Sim","Não"))))</f>
        <v/>
      </c>
    </row>
    <row r="153">
      <c r="M153" s="9" t="n"/>
      <c r="N153" s="10" t="n"/>
      <c r="O153" s="9" t="n"/>
      <c r="P153" s="6">
        <f>IF($A153="","",IF($M153="Inativo","Não",IF($N153="","Sim",IF(TODAY()-$N153&gt;180,"Sim","Não"))))</f>
        <v/>
      </c>
    </row>
    <row r="154">
      <c r="M154" s="9" t="n"/>
      <c r="N154" s="10" t="n"/>
      <c r="O154" s="9" t="n"/>
      <c r="P154" s="6">
        <f>IF($A154="","",IF($M154="Inativo","Não",IF($N154="","Sim",IF(TODAY()-$N154&gt;180,"Sim","Não"))))</f>
        <v/>
      </c>
    </row>
    <row r="155">
      <c r="M155" s="9" t="n"/>
      <c r="N155" s="10" t="n"/>
      <c r="O155" s="9" t="n"/>
      <c r="P155" s="6">
        <f>IF($A155="","",IF($M155="Inativo","Não",IF($N155="","Sim",IF(TODAY()-$N155&gt;180,"Sim","Não"))))</f>
        <v/>
      </c>
    </row>
    <row r="156">
      <c r="M156" s="9" t="n"/>
      <c r="N156" s="10" t="n"/>
      <c r="O156" s="9" t="n"/>
      <c r="P156" s="6">
        <f>IF($A156="","",IF($M156="Inativo","Não",IF($N156="","Sim",IF(TODAY()-$N156&gt;180,"Sim","Não"))))</f>
        <v/>
      </c>
    </row>
    <row r="157">
      <c r="M157" s="9" t="n"/>
      <c r="N157" s="10" t="n"/>
      <c r="O157" s="9" t="n"/>
      <c r="P157" s="6">
        <f>IF($A157="","",IF($M157="Inativo","Não",IF($N157="","Sim",IF(TODAY()-$N157&gt;180,"Sim","Não"))))</f>
        <v/>
      </c>
    </row>
    <row r="158">
      <c r="M158" s="9" t="n"/>
      <c r="N158" s="10" t="n"/>
      <c r="O158" s="9" t="n"/>
      <c r="P158" s="6">
        <f>IF($A158="","",IF($M158="Inativo","Não",IF($N158="","Sim",IF(TODAY()-$N158&gt;180,"Sim","Não"))))</f>
        <v/>
      </c>
    </row>
    <row r="159">
      <c r="M159" s="9" t="n"/>
      <c r="N159" s="10" t="n"/>
      <c r="O159" s="9" t="n"/>
      <c r="P159" s="6">
        <f>IF($A159="","",IF($M159="Inativo","Não",IF($N159="","Sim",IF(TODAY()-$N159&gt;180,"Sim","Não"))))</f>
        <v/>
      </c>
    </row>
    <row r="160">
      <c r="M160" s="9" t="n"/>
      <c r="N160" s="10" t="n"/>
      <c r="O160" s="9" t="n"/>
      <c r="P160" s="6">
        <f>IF($A160="","",IF($M160="Inativo","Não",IF($N160="","Sim",IF(TODAY()-$N160&gt;180,"Sim","Não"))))</f>
        <v/>
      </c>
    </row>
    <row r="161">
      <c r="M161" s="9" t="n"/>
      <c r="N161" s="10" t="n"/>
      <c r="O161" s="9" t="n"/>
      <c r="P161" s="6">
        <f>IF($A161="","",IF($M161="Inativo","Não",IF($N161="","Sim",IF(TODAY()-$N161&gt;180,"Sim","Não"))))</f>
        <v/>
      </c>
    </row>
    <row r="162">
      <c r="M162" s="9" t="n"/>
      <c r="N162" s="10" t="n"/>
      <c r="O162" s="9" t="n"/>
      <c r="P162" s="6">
        <f>IF($A162="","",IF($M162="Inativo","Não",IF($N162="","Sim",IF(TODAY()-$N162&gt;180,"Sim","Não"))))</f>
        <v/>
      </c>
    </row>
    <row r="163">
      <c r="M163" s="9" t="n"/>
      <c r="N163" s="10" t="n"/>
      <c r="O163" s="9" t="n"/>
      <c r="P163" s="6">
        <f>IF($A163="","",IF($M163="Inativo","Não",IF($N163="","Sim",IF(TODAY()-$N163&gt;180,"Sim","Não"))))</f>
        <v/>
      </c>
    </row>
    <row r="164">
      <c r="M164" s="9" t="n"/>
      <c r="N164" s="10" t="n"/>
      <c r="O164" s="9" t="n"/>
      <c r="P164" s="6">
        <f>IF($A164="","",IF($M164="Inativo","Não",IF($N164="","Sim",IF(TODAY()-$N164&gt;180,"Sim","Não"))))</f>
        <v/>
      </c>
    </row>
    <row r="165">
      <c r="M165" s="9" t="n"/>
      <c r="N165" s="10" t="n"/>
      <c r="O165" s="9" t="n"/>
      <c r="P165" s="6">
        <f>IF($A165="","",IF($M165="Inativo","Não",IF($N165="","Sim",IF(TODAY()-$N165&gt;180,"Sim","Não"))))</f>
        <v/>
      </c>
    </row>
    <row r="166">
      <c r="M166" s="9" t="n"/>
      <c r="N166" s="10" t="n"/>
      <c r="O166" s="9" t="n"/>
      <c r="P166" s="6">
        <f>IF($A166="","",IF($M166="Inativo","Não",IF($N166="","Sim",IF(TODAY()-$N166&gt;180,"Sim","Não"))))</f>
        <v/>
      </c>
    </row>
    <row r="167">
      <c r="M167" s="9" t="n"/>
      <c r="N167" s="10" t="n"/>
      <c r="O167" s="9" t="n"/>
      <c r="P167" s="6">
        <f>IF($A167="","",IF($M167="Inativo","Não",IF($N167="","Sim",IF(TODAY()-$N167&gt;180,"Sim","Não"))))</f>
        <v/>
      </c>
    </row>
    <row r="168">
      <c r="M168" s="9" t="n"/>
      <c r="N168" s="10" t="n"/>
      <c r="O168" s="9" t="n"/>
      <c r="P168" s="6">
        <f>IF($A168="","",IF($M168="Inativo","Não",IF($N168="","Sim",IF(TODAY()-$N168&gt;180,"Sim","Não"))))</f>
        <v/>
      </c>
    </row>
    <row r="169">
      <c r="M169" s="9" t="n"/>
      <c r="N169" s="10" t="n"/>
      <c r="O169" s="9" t="n"/>
      <c r="P169" s="6">
        <f>IF($A169="","",IF($M169="Inativo","Não",IF($N169="","Sim",IF(TODAY()-$N169&gt;180,"Sim","Não"))))</f>
        <v/>
      </c>
    </row>
    <row r="170">
      <c r="M170" s="9" t="n"/>
      <c r="N170" s="10" t="n"/>
      <c r="O170" s="9" t="n"/>
      <c r="P170" s="6">
        <f>IF($A170="","",IF($M170="Inativo","Não",IF($N170="","Sim",IF(TODAY()-$N170&gt;180,"Sim","Não"))))</f>
        <v/>
      </c>
    </row>
    <row r="171">
      <c r="M171" s="9" t="n"/>
      <c r="N171" s="10" t="n"/>
      <c r="O171" s="9" t="n"/>
      <c r="P171" s="6">
        <f>IF($A171="","",IF($M171="Inativo","Não",IF($N171="","Sim",IF(TODAY()-$N171&gt;180,"Sim","Não"))))</f>
        <v/>
      </c>
    </row>
    <row r="172">
      <c r="M172" s="9" t="n"/>
      <c r="N172" s="10" t="n"/>
      <c r="O172" s="9" t="n"/>
      <c r="P172" s="6">
        <f>IF($A172="","",IF($M172="Inativo","Não",IF($N172="","Sim",IF(TODAY()-$N172&gt;180,"Sim","Não"))))</f>
        <v/>
      </c>
    </row>
    <row r="173">
      <c r="M173" s="9" t="n"/>
      <c r="N173" s="10" t="n"/>
      <c r="O173" s="9" t="n"/>
      <c r="P173" s="6">
        <f>IF($A173="","",IF($M173="Inativo","Não",IF($N173="","Sim",IF(TODAY()-$N173&gt;180,"Sim","Não"))))</f>
        <v/>
      </c>
    </row>
    <row r="174">
      <c r="M174" s="9" t="n"/>
      <c r="N174" s="10" t="n"/>
      <c r="O174" s="9" t="n"/>
      <c r="P174" s="6">
        <f>IF($A174="","",IF($M174="Inativo","Não",IF($N174="","Sim",IF(TODAY()-$N174&gt;180,"Sim","Não"))))</f>
        <v/>
      </c>
    </row>
    <row r="175">
      <c r="M175" s="9" t="n"/>
      <c r="N175" s="10" t="n"/>
      <c r="O175" s="9" t="n"/>
      <c r="P175" s="6">
        <f>IF($A175="","",IF($M175="Inativo","Não",IF($N175="","Sim",IF(TODAY()-$N175&gt;180,"Sim","Não"))))</f>
        <v/>
      </c>
    </row>
    <row r="176">
      <c r="M176" s="9" t="n"/>
      <c r="N176" s="10" t="n"/>
      <c r="O176" s="9" t="n"/>
      <c r="P176" s="6">
        <f>IF($A176="","",IF($M176="Inativo","Não",IF($N176="","Sim",IF(TODAY()-$N176&gt;180,"Sim","Não"))))</f>
        <v/>
      </c>
    </row>
    <row r="177">
      <c r="M177" s="9" t="n"/>
      <c r="N177" s="10" t="n"/>
      <c r="O177" s="9" t="n"/>
      <c r="P177" s="6">
        <f>IF($A177="","",IF($M177="Inativo","Não",IF($N177="","Sim",IF(TODAY()-$N177&gt;180,"Sim","Não"))))</f>
        <v/>
      </c>
    </row>
    <row r="178">
      <c r="M178" s="9" t="n"/>
      <c r="N178" s="10" t="n"/>
      <c r="O178" s="9" t="n"/>
      <c r="P178" s="6">
        <f>IF($A178="","",IF($M178="Inativo","Não",IF($N178="","Sim",IF(TODAY()-$N178&gt;180,"Sim","Não"))))</f>
        <v/>
      </c>
    </row>
    <row r="179">
      <c r="M179" s="9" t="n"/>
      <c r="N179" s="10" t="n"/>
      <c r="O179" s="9" t="n"/>
      <c r="P179" s="6">
        <f>IF($A179="","",IF($M179="Inativo","Não",IF($N179="","Sim",IF(TODAY()-$N179&gt;180,"Sim","Não"))))</f>
        <v/>
      </c>
    </row>
    <row r="180">
      <c r="M180" s="9" t="n"/>
      <c r="N180" s="10" t="n"/>
      <c r="O180" s="9" t="n"/>
      <c r="P180" s="6">
        <f>IF($A180="","",IF($M180="Inativo","Não",IF($N180="","Sim",IF(TODAY()-$N180&gt;180,"Sim","Não"))))</f>
        <v/>
      </c>
    </row>
    <row r="181">
      <c r="M181" s="9" t="n"/>
      <c r="N181" s="10" t="n"/>
      <c r="O181" s="9" t="n"/>
      <c r="P181" s="6">
        <f>IF($A181="","",IF($M181="Inativo","Não",IF($N181="","Sim",IF(TODAY()-$N181&gt;180,"Sim","Não"))))</f>
        <v/>
      </c>
    </row>
    <row r="182">
      <c r="M182" s="9" t="n"/>
      <c r="N182" s="10" t="n"/>
      <c r="O182" s="9" t="n"/>
      <c r="P182" s="6">
        <f>IF($A182="","",IF($M182="Inativo","Não",IF($N182="","Sim",IF(TODAY()-$N182&gt;180,"Sim","Não"))))</f>
        <v/>
      </c>
    </row>
    <row r="183">
      <c r="M183" s="9" t="n"/>
      <c r="N183" s="10" t="n"/>
      <c r="O183" s="9" t="n"/>
      <c r="P183" s="6">
        <f>IF($A183="","",IF($M183="Inativo","Não",IF($N183="","Sim",IF(TODAY()-$N183&gt;180,"Sim","Não"))))</f>
        <v/>
      </c>
    </row>
    <row r="184">
      <c r="M184" s="9" t="n"/>
      <c r="N184" s="10" t="n"/>
      <c r="O184" s="9" t="n"/>
      <c r="P184" s="6">
        <f>IF($A184="","",IF($M184="Inativo","Não",IF($N184="","Sim",IF(TODAY()-$N184&gt;180,"Sim","Não"))))</f>
        <v/>
      </c>
    </row>
    <row r="185">
      <c r="M185" s="9" t="n"/>
      <c r="N185" s="10" t="n"/>
      <c r="O185" s="9" t="n"/>
      <c r="P185" s="6">
        <f>IF($A185="","",IF($M185="Inativo","Não",IF($N185="","Sim",IF(TODAY()-$N185&gt;180,"Sim","Não"))))</f>
        <v/>
      </c>
    </row>
    <row r="186">
      <c r="M186" s="9" t="n"/>
      <c r="N186" s="10" t="n"/>
      <c r="O186" s="9" t="n"/>
      <c r="P186" s="6">
        <f>IF($A186="","",IF($M186="Inativo","Não",IF($N186="","Sim",IF(TODAY()-$N186&gt;180,"Sim","Não"))))</f>
        <v/>
      </c>
    </row>
    <row r="187">
      <c r="M187" s="9" t="n"/>
      <c r="N187" s="10" t="n"/>
      <c r="O187" s="9" t="n"/>
      <c r="P187" s="6">
        <f>IF($A187="","",IF($M187="Inativo","Não",IF($N187="","Sim",IF(TODAY()-$N187&gt;180,"Sim","Não"))))</f>
        <v/>
      </c>
    </row>
    <row r="188">
      <c r="M188" s="9" t="n"/>
      <c r="N188" s="10" t="n"/>
      <c r="O188" s="9" t="n"/>
      <c r="P188" s="6">
        <f>IF($A188="","",IF($M188="Inativo","Não",IF($N188="","Sim",IF(TODAY()-$N188&gt;180,"Sim","Não"))))</f>
        <v/>
      </c>
    </row>
    <row r="189">
      <c r="M189" s="9" t="n"/>
      <c r="N189" s="10" t="n"/>
      <c r="O189" s="9" t="n"/>
      <c r="P189" s="6">
        <f>IF($A189="","",IF($M189="Inativo","Não",IF($N189="","Sim",IF(TODAY()-$N189&gt;180,"Sim","Não"))))</f>
        <v/>
      </c>
    </row>
    <row r="190">
      <c r="M190" s="9" t="n"/>
      <c r="N190" s="10" t="n"/>
      <c r="O190" s="9" t="n"/>
      <c r="P190" s="6">
        <f>IF($A190="","",IF($M190="Inativo","Não",IF($N190="","Sim",IF(TODAY()-$N190&gt;180,"Sim","Não"))))</f>
        <v/>
      </c>
    </row>
    <row r="191">
      <c r="M191" s="9" t="n"/>
      <c r="N191" s="10" t="n"/>
      <c r="O191" s="9" t="n"/>
      <c r="P191" s="6">
        <f>IF($A191="","",IF($M191="Inativo","Não",IF($N191="","Sim",IF(TODAY()-$N191&gt;180,"Sim","Não"))))</f>
        <v/>
      </c>
    </row>
    <row r="192">
      <c r="M192" s="9" t="n"/>
      <c r="N192" s="10" t="n"/>
      <c r="O192" s="9" t="n"/>
      <c r="P192" s="6">
        <f>IF($A192="","",IF($M192="Inativo","Não",IF($N192="","Sim",IF(TODAY()-$N192&gt;180,"Sim","Não"))))</f>
        <v/>
      </c>
    </row>
    <row r="193">
      <c r="M193" s="9" t="n"/>
      <c r="N193" s="10" t="n"/>
      <c r="O193" s="9" t="n"/>
      <c r="P193" s="6">
        <f>IF($A193="","",IF($M193="Inativo","Não",IF($N193="","Sim",IF(TODAY()-$N193&gt;180,"Sim","Não"))))</f>
        <v/>
      </c>
    </row>
    <row r="194">
      <c r="M194" s="9" t="n"/>
      <c r="N194" s="10" t="n"/>
      <c r="O194" s="9" t="n"/>
      <c r="P194" s="6">
        <f>IF($A194="","",IF($M194="Inativo","Não",IF($N194="","Sim",IF(TODAY()-$N194&gt;180,"Sim","Não"))))</f>
        <v/>
      </c>
    </row>
    <row r="195">
      <c r="M195" s="9" t="n"/>
      <c r="N195" s="10" t="n"/>
      <c r="O195" s="9" t="n"/>
      <c r="P195" s="6">
        <f>IF($A195="","",IF($M195="Inativo","Não",IF($N195="","Sim",IF(TODAY()-$N195&gt;180,"Sim","Não"))))</f>
        <v/>
      </c>
    </row>
    <row r="196">
      <c r="M196" s="9" t="n"/>
      <c r="N196" s="10" t="n"/>
      <c r="O196" s="9" t="n"/>
      <c r="P196" s="6">
        <f>IF($A196="","",IF($M196="Inativo","Não",IF($N196="","Sim",IF(TODAY()-$N196&gt;180,"Sim","Não"))))</f>
        <v/>
      </c>
    </row>
    <row r="197">
      <c r="M197" s="9" t="n"/>
      <c r="N197" s="10" t="n"/>
      <c r="O197" s="9" t="n"/>
      <c r="P197" s="6">
        <f>IF($A197="","",IF($M197="Inativo","Não",IF($N197="","Sim",IF(TODAY()-$N197&gt;180,"Sim","Não"))))</f>
        <v/>
      </c>
    </row>
    <row r="198">
      <c r="M198" s="9" t="n"/>
      <c r="N198" s="10" t="n"/>
      <c r="O198" s="9" t="n"/>
      <c r="P198" s="6">
        <f>IF($A198="","",IF($M198="Inativo","Não",IF($N198="","Sim",IF(TODAY()-$N198&gt;180,"Sim","Não"))))</f>
        <v/>
      </c>
    </row>
    <row r="199">
      <c r="M199" s="9" t="n"/>
      <c r="N199" s="10" t="n"/>
      <c r="O199" s="9" t="n"/>
      <c r="P199" s="6">
        <f>IF($A199="","",IF($M199="Inativo","Não",IF($N199="","Sim",IF(TODAY()-$N199&gt;180,"Sim","Não"))))</f>
        <v/>
      </c>
    </row>
    <row r="200">
      <c r="M200" s="9" t="n"/>
      <c r="N200" s="10" t="n"/>
      <c r="O200" s="9" t="n"/>
      <c r="P200" s="6">
        <f>IF($A200="","",IF($M200="Inativo","Não",IF($N200="","Sim",IF(TODAY()-$N200&gt;180,"Sim","Não"))))</f>
        <v/>
      </c>
    </row>
    <row r="201">
      <c r="M201" s="9" t="n"/>
      <c r="N201" s="10" t="n"/>
      <c r="O201" s="9" t="n"/>
      <c r="P201" s="6">
        <f>IF($A201="","",IF($M201="Inativo","Não",IF($N201="","Sim",IF(TODAY()-$N201&gt;180,"Sim","Não"))))</f>
        <v/>
      </c>
    </row>
    <row r="202">
      <c r="M202" s="9" t="n"/>
      <c r="N202" s="10" t="n"/>
      <c r="O202" s="9" t="n"/>
      <c r="P202" s="6">
        <f>IF($A202="","",IF($M202="Inativo","Não",IF($N202="","Sim",IF(TODAY()-$N202&gt;180,"Sim","Não"))))</f>
        <v/>
      </c>
    </row>
    <row r="203">
      <c r="M203" s="9" t="n"/>
      <c r="N203" s="10" t="n"/>
      <c r="O203" s="9" t="n"/>
      <c r="P203" s="6">
        <f>IF($A203="","",IF($M203="Inativo","Não",IF($N203="","Sim",IF(TODAY()-$N203&gt;180,"Sim","Não"))))</f>
        <v/>
      </c>
    </row>
    <row r="204">
      <c r="M204" s="9" t="n"/>
      <c r="N204" s="10" t="n"/>
      <c r="O204" s="9" t="n"/>
      <c r="P204" s="6">
        <f>IF($A204="","",IF($M204="Inativo","Não",IF($N204="","Sim",IF(TODAY()-$N204&gt;180,"Sim","Não"))))</f>
        <v/>
      </c>
    </row>
    <row r="205">
      <c r="M205" s="9" t="n"/>
      <c r="N205" s="10" t="n"/>
      <c r="O205" s="9" t="n"/>
      <c r="P205" s="6">
        <f>IF($A205="","",IF($M205="Inativo","Não",IF($N205="","Sim",IF(TODAY()-$N205&gt;180,"Sim","Não"))))</f>
        <v/>
      </c>
    </row>
    <row r="206">
      <c r="M206" s="9" t="n"/>
      <c r="N206" s="10" t="n"/>
      <c r="O206" s="9" t="n"/>
      <c r="P206" s="6">
        <f>IF($A206="","",IF($M206="Inativo","Não",IF($N206="","Sim",IF(TODAY()-$N206&gt;180,"Sim","Não"))))</f>
        <v/>
      </c>
    </row>
    <row r="207">
      <c r="M207" s="9" t="n"/>
      <c r="N207" s="10" t="n"/>
      <c r="O207" s="9" t="n"/>
      <c r="P207" s="6">
        <f>IF($A207="","",IF($M207="Inativo","Não",IF($N207="","Sim",IF(TODAY()-$N207&gt;180,"Sim","Não"))))</f>
        <v/>
      </c>
    </row>
    <row r="208">
      <c r="M208" s="9" t="n"/>
      <c r="N208" s="10" t="n"/>
      <c r="O208" s="9" t="n"/>
      <c r="P208" s="6">
        <f>IF($A208="","",IF($M208="Inativo","Não",IF($N208="","Sim",IF(TODAY()-$N208&gt;180,"Sim","Não"))))</f>
        <v/>
      </c>
    </row>
    <row r="209">
      <c r="M209" s="9" t="n"/>
      <c r="N209" s="10" t="n"/>
      <c r="O209" s="9" t="n"/>
      <c r="P209" s="6">
        <f>IF($A209="","",IF($M209="Inativo","Não",IF($N209="","Sim",IF(TODAY()-$N209&gt;180,"Sim","Não"))))</f>
        <v/>
      </c>
    </row>
    <row r="210">
      <c r="M210" s="9" t="n"/>
      <c r="N210" s="10" t="n"/>
      <c r="O210" s="9" t="n"/>
      <c r="P210" s="6">
        <f>IF($A210="","",IF($M210="Inativo","Não",IF($N210="","Sim",IF(TODAY()-$N210&gt;180,"Sim","Não"))))</f>
        <v/>
      </c>
    </row>
    <row r="211">
      <c r="M211" s="9" t="n"/>
      <c r="N211" s="10" t="n"/>
      <c r="O211" s="9" t="n"/>
      <c r="P211" s="6">
        <f>IF($A211="","",IF($M211="Inativo","Não",IF($N211="","Sim",IF(TODAY()-$N211&gt;180,"Sim","Não"))))</f>
        <v/>
      </c>
    </row>
    <row r="212">
      <c r="M212" s="9" t="n"/>
      <c r="N212" s="10" t="n"/>
      <c r="O212" s="9" t="n"/>
      <c r="P212" s="6">
        <f>IF($A212="","",IF($M212="Inativo","Não",IF($N212="","Sim",IF(TODAY()-$N212&gt;180,"Sim","Não"))))</f>
        <v/>
      </c>
    </row>
    <row r="213">
      <c r="M213" s="9" t="n"/>
      <c r="N213" s="10" t="n"/>
      <c r="O213" s="9" t="n"/>
      <c r="P213" s="6">
        <f>IF($A213="","",IF($M213="Inativo","Não",IF($N213="","Sim",IF(TODAY()-$N213&gt;180,"Sim","Não"))))</f>
        <v/>
      </c>
    </row>
    <row r="214">
      <c r="M214" s="9" t="n"/>
      <c r="N214" s="10" t="n"/>
      <c r="O214" s="9" t="n"/>
      <c r="P214" s="6">
        <f>IF($A214="","",IF($M214="Inativo","Não",IF($N214="","Sim",IF(TODAY()-$N214&gt;180,"Sim","Não"))))</f>
        <v/>
      </c>
    </row>
    <row r="215">
      <c r="M215" s="9" t="n"/>
      <c r="N215" s="10" t="n"/>
      <c r="O215" s="9" t="n"/>
      <c r="P215" s="6">
        <f>IF($A215="","",IF($M215="Inativo","Não",IF($N215="","Sim",IF(TODAY()-$N215&gt;180,"Sim","Não"))))</f>
        <v/>
      </c>
    </row>
    <row r="216">
      <c r="M216" s="9" t="n"/>
      <c r="N216" s="10" t="n"/>
      <c r="O216" s="9" t="n"/>
      <c r="P216" s="6">
        <f>IF($A216="","",IF($M216="Inativo","Não",IF($N216="","Sim",IF(TODAY()-$N216&gt;180,"Sim","Não"))))</f>
        <v/>
      </c>
    </row>
    <row r="217">
      <c r="M217" s="9" t="n"/>
      <c r="N217" s="10" t="n"/>
      <c r="O217" s="9" t="n"/>
      <c r="P217" s="6">
        <f>IF($A217="","",IF($M217="Inativo","Não",IF($N217="","Sim",IF(TODAY()-$N217&gt;180,"Sim","Não"))))</f>
        <v/>
      </c>
    </row>
    <row r="218">
      <c r="M218" s="9" t="n"/>
      <c r="N218" s="10" t="n"/>
      <c r="O218" s="9" t="n"/>
      <c r="P218" s="6">
        <f>IF($A218="","",IF($M218="Inativo","Não",IF($N218="","Sim",IF(TODAY()-$N218&gt;180,"Sim","Não"))))</f>
        <v/>
      </c>
    </row>
    <row r="219">
      <c r="M219" s="9" t="n"/>
      <c r="N219" s="10" t="n"/>
      <c r="O219" s="9" t="n"/>
      <c r="P219" s="6">
        <f>IF($A219="","",IF($M219="Inativo","Não",IF($N219="","Sim",IF(TODAY()-$N219&gt;180,"Sim","Não"))))</f>
        <v/>
      </c>
    </row>
    <row r="220">
      <c r="M220" s="9" t="n"/>
      <c r="N220" s="10" t="n"/>
      <c r="O220" s="9" t="n"/>
      <c r="P220" s="6">
        <f>IF($A220="","",IF($M220="Inativo","Não",IF($N220="","Sim",IF(TODAY()-$N220&gt;180,"Sim","Não"))))</f>
        <v/>
      </c>
    </row>
    <row r="221">
      <c r="M221" s="9" t="n"/>
      <c r="N221" s="10" t="n"/>
      <c r="O221" s="9" t="n"/>
      <c r="P221" s="6">
        <f>IF($A221="","",IF($M221="Inativo","Não",IF($N221="","Sim",IF(TODAY()-$N221&gt;180,"Sim","Não"))))</f>
        <v/>
      </c>
    </row>
    <row r="222">
      <c r="M222" s="9" t="n"/>
      <c r="N222" s="10" t="n"/>
      <c r="O222" s="9" t="n"/>
      <c r="P222" s="6">
        <f>IF($A222="","",IF($M222="Inativo","Não",IF($N222="","Sim",IF(TODAY()-$N222&gt;180,"Sim","Não"))))</f>
        <v/>
      </c>
    </row>
    <row r="223">
      <c r="M223" s="9" t="n"/>
      <c r="N223" s="10" t="n"/>
      <c r="O223" s="9" t="n"/>
      <c r="P223" s="6">
        <f>IF($A223="","",IF($M223="Inativo","Não",IF($N223="","Sim",IF(TODAY()-$N223&gt;180,"Sim","Não"))))</f>
        <v/>
      </c>
    </row>
    <row r="224">
      <c r="M224" s="9" t="n"/>
      <c r="N224" s="10" t="n"/>
      <c r="O224" s="9" t="n"/>
      <c r="P224" s="6">
        <f>IF($A224="","",IF($M224="Inativo","Não",IF($N224="","Sim",IF(TODAY()-$N224&gt;180,"Sim","Não"))))</f>
        <v/>
      </c>
    </row>
    <row r="225">
      <c r="M225" s="9" t="n"/>
      <c r="N225" s="10" t="n"/>
      <c r="O225" s="9" t="n"/>
      <c r="P225" s="6">
        <f>IF($A225="","",IF($M225="Inativo","Não",IF($N225="","Sim",IF(TODAY()-$N225&gt;180,"Sim","Não"))))</f>
        <v/>
      </c>
    </row>
    <row r="226">
      <c r="M226" s="9" t="n"/>
      <c r="N226" s="10" t="n"/>
      <c r="O226" s="9" t="n"/>
      <c r="P226" s="6">
        <f>IF($A226="","",IF($M226="Inativo","Não",IF($N226="","Sim",IF(TODAY()-$N226&gt;180,"Sim","Não"))))</f>
        <v/>
      </c>
    </row>
    <row r="227">
      <c r="M227" s="9" t="n"/>
      <c r="N227" s="10" t="n"/>
      <c r="O227" s="9" t="n"/>
      <c r="P227" s="6">
        <f>IF($A227="","",IF($M227="Inativo","Não",IF($N227="","Sim",IF(TODAY()-$N227&gt;180,"Sim","Não"))))</f>
        <v/>
      </c>
    </row>
    <row r="228">
      <c r="M228" s="9" t="n"/>
      <c r="N228" s="10" t="n"/>
      <c r="O228" s="9" t="n"/>
      <c r="P228" s="6">
        <f>IF($A228="","",IF($M228="Inativo","Não",IF($N228="","Sim",IF(TODAY()-$N228&gt;180,"Sim","Não"))))</f>
        <v/>
      </c>
    </row>
    <row r="229">
      <c r="M229" s="9" t="n"/>
      <c r="N229" s="10" t="n"/>
      <c r="O229" s="9" t="n"/>
      <c r="P229" s="6">
        <f>IF($A229="","",IF($M229="Inativo","Não",IF($N229="","Sim",IF(TODAY()-$N229&gt;180,"Sim","Não"))))</f>
        <v/>
      </c>
    </row>
    <row r="230">
      <c r="M230" s="9" t="n"/>
      <c r="N230" s="10" t="n"/>
      <c r="O230" s="9" t="n"/>
      <c r="P230" s="6">
        <f>IF($A230="","",IF($M230="Inativo","Não",IF($N230="","Sim",IF(TODAY()-$N230&gt;180,"Sim","Não"))))</f>
        <v/>
      </c>
    </row>
    <row r="231">
      <c r="M231" s="9" t="n"/>
      <c r="N231" s="10" t="n"/>
      <c r="O231" s="9" t="n"/>
      <c r="P231" s="6">
        <f>IF($A231="","",IF($M231="Inativo","Não",IF($N231="","Sim",IF(TODAY()-$N231&gt;180,"Sim","Não"))))</f>
        <v/>
      </c>
    </row>
    <row r="232">
      <c r="M232" s="9" t="n"/>
      <c r="N232" s="10" t="n"/>
      <c r="O232" s="9" t="n"/>
      <c r="P232" s="6">
        <f>IF($A232="","",IF($M232="Inativo","Não",IF($N232="","Sim",IF(TODAY()-$N232&gt;180,"Sim","Não"))))</f>
        <v/>
      </c>
    </row>
    <row r="233">
      <c r="M233" s="9" t="n"/>
      <c r="N233" s="10" t="n"/>
      <c r="O233" s="9" t="n"/>
      <c r="P233" s="6">
        <f>IF($A233="","",IF($M233="Inativo","Não",IF($N233="","Sim",IF(TODAY()-$N233&gt;180,"Sim","Não"))))</f>
        <v/>
      </c>
    </row>
    <row r="234">
      <c r="M234" s="9" t="n"/>
      <c r="N234" s="10" t="n"/>
      <c r="O234" s="9" t="n"/>
      <c r="P234" s="6">
        <f>IF($A234="","",IF($M234="Inativo","Não",IF($N234="","Sim",IF(TODAY()-$N234&gt;180,"Sim","Não"))))</f>
        <v/>
      </c>
    </row>
    <row r="235">
      <c r="M235" s="9" t="n"/>
      <c r="N235" s="10" t="n"/>
      <c r="O235" s="9" t="n"/>
      <c r="P235" s="6">
        <f>IF($A235="","",IF($M235="Inativo","Não",IF($N235="","Sim",IF(TODAY()-$N235&gt;180,"Sim","Não"))))</f>
        <v/>
      </c>
    </row>
    <row r="236">
      <c r="M236" s="9" t="n"/>
      <c r="N236" s="10" t="n"/>
      <c r="O236" s="9" t="n"/>
      <c r="P236" s="6">
        <f>IF($A236="","",IF($M236="Inativo","Não",IF($N236="","Sim",IF(TODAY()-$N236&gt;180,"Sim","Não"))))</f>
        <v/>
      </c>
    </row>
    <row r="237">
      <c r="M237" s="9" t="n"/>
      <c r="N237" s="10" t="n"/>
      <c r="O237" s="9" t="n"/>
      <c r="P237" s="6">
        <f>IF($A237="","",IF($M237="Inativo","Não",IF($N237="","Sim",IF(TODAY()-$N237&gt;180,"Sim","Não"))))</f>
        <v/>
      </c>
    </row>
    <row r="238">
      <c r="M238" s="9" t="n"/>
      <c r="N238" s="10" t="n"/>
      <c r="O238" s="9" t="n"/>
      <c r="P238" s="6">
        <f>IF($A238="","",IF($M238="Inativo","Não",IF($N238="","Sim",IF(TODAY()-$N238&gt;180,"Sim","Não"))))</f>
        <v/>
      </c>
    </row>
    <row r="239">
      <c r="M239" s="9" t="n"/>
      <c r="N239" s="10" t="n"/>
      <c r="O239" s="9" t="n"/>
      <c r="P239" s="6">
        <f>IF($A239="","",IF($M239="Inativo","Não",IF($N239="","Sim",IF(TODAY()-$N239&gt;180,"Sim","Não"))))</f>
        <v/>
      </c>
    </row>
    <row r="240">
      <c r="M240" s="9" t="n"/>
      <c r="N240" s="10" t="n"/>
      <c r="O240" s="9" t="n"/>
      <c r="P240" s="6">
        <f>IF($A240="","",IF($M240="Inativo","Não",IF($N240="","Sim",IF(TODAY()-$N240&gt;180,"Sim","Não"))))</f>
        <v/>
      </c>
    </row>
    <row r="241">
      <c r="M241" s="9" t="n"/>
      <c r="N241" s="10" t="n"/>
      <c r="O241" s="9" t="n"/>
      <c r="P241" s="6">
        <f>IF($A241="","",IF($M241="Inativo","Não",IF($N241="","Sim",IF(TODAY()-$N241&gt;180,"Sim","Não"))))</f>
        <v/>
      </c>
    </row>
    <row r="242">
      <c r="M242" s="9" t="n"/>
      <c r="N242" s="10" t="n"/>
      <c r="O242" s="9" t="n"/>
      <c r="P242" s="6">
        <f>IF($A242="","",IF($M242="Inativo","Não",IF($N242="","Sim",IF(TODAY()-$N242&gt;180,"Sim","Não"))))</f>
        <v/>
      </c>
    </row>
    <row r="243">
      <c r="M243" s="9" t="n"/>
      <c r="N243" s="10" t="n"/>
      <c r="O243" s="9" t="n"/>
      <c r="P243" s="6">
        <f>IF($A243="","",IF($M243="Inativo","Não",IF($N243="","Sim",IF(TODAY()-$N243&gt;180,"Sim","Não"))))</f>
        <v/>
      </c>
    </row>
    <row r="244">
      <c r="M244" s="9" t="n"/>
      <c r="N244" s="10" t="n"/>
      <c r="O244" s="9" t="n"/>
      <c r="P244" s="6">
        <f>IF($A244="","",IF($M244="Inativo","Não",IF($N244="","Sim",IF(TODAY()-$N244&gt;180,"Sim","Não"))))</f>
        <v/>
      </c>
    </row>
    <row r="245">
      <c r="M245" s="9" t="n"/>
      <c r="N245" s="10" t="n"/>
      <c r="O245" s="9" t="n"/>
      <c r="P245" s="6">
        <f>IF($A245="","",IF($M245="Inativo","Não",IF($N245="","Sim",IF(TODAY()-$N245&gt;180,"Sim","Não"))))</f>
        <v/>
      </c>
    </row>
    <row r="246">
      <c r="M246" s="9" t="n"/>
      <c r="N246" s="10" t="n"/>
      <c r="O246" s="9" t="n"/>
      <c r="P246" s="6">
        <f>IF($A246="","",IF($M246="Inativo","Não",IF($N246="","Sim",IF(TODAY()-$N246&gt;180,"Sim","Não"))))</f>
        <v/>
      </c>
    </row>
    <row r="247">
      <c r="M247" s="9" t="n"/>
      <c r="N247" s="10" t="n"/>
      <c r="O247" s="9" t="n"/>
      <c r="P247" s="6">
        <f>IF($A247="","",IF($M247="Inativo","Não",IF($N247="","Sim",IF(TODAY()-$N247&gt;180,"Sim","Não"))))</f>
        <v/>
      </c>
    </row>
    <row r="248">
      <c r="M248" s="9" t="n"/>
      <c r="N248" s="10" t="n"/>
      <c r="O248" s="9" t="n"/>
      <c r="P248" s="6">
        <f>IF($A248="","",IF($M248="Inativo","Não",IF($N248="","Sim",IF(TODAY()-$N248&gt;180,"Sim","Não"))))</f>
        <v/>
      </c>
    </row>
    <row r="249">
      <c r="M249" s="9" t="n"/>
      <c r="N249" s="10" t="n"/>
      <c r="O249" s="9" t="n"/>
      <c r="P249" s="6">
        <f>IF($A249="","",IF($M249="Inativo","Não",IF($N249="","Sim",IF(TODAY()-$N249&gt;180,"Sim","Não"))))</f>
        <v/>
      </c>
    </row>
    <row r="250">
      <c r="M250" s="9" t="n"/>
      <c r="N250" s="10" t="n"/>
      <c r="O250" s="9" t="n"/>
      <c r="P250" s="6">
        <f>IF($A250="","",IF($M250="Inativo","Não",IF($N250="","Sim",IF(TODAY()-$N250&gt;180,"Sim","Não"))))</f>
        <v/>
      </c>
    </row>
    <row r="251">
      <c r="M251" s="9" t="n"/>
      <c r="N251" s="10" t="n"/>
      <c r="O251" s="9" t="n"/>
      <c r="P251" s="6">
        <f>IF($A251="","",IF($M251="Inativo","Não",IF($N251="","Sim",IF(TODAY()-$N251&gt;180,"Sim","Não"))))</f>
        <v/>
      </c>
    </row>
    <row r="252">
      <c r="M252" s="9" t="n"/>
      <c r="N252" s="10" t="n"/>
      <c r="O252" s="9" t="n"/>
      <c r="P252" s="6">
        <f>IF($A252="","",IF($M252="Inativo","Não",IF($N252="","Sim",IF(TODAY()-$N252&gt;180,"Sim","Não"))))</f>
        <v/>
      </c>
    </row>
    <row r="253">
      <c r="M253" s="9" t="n"/>
      <c r="N253" s="10" t="n"/>
      <c r="O253" s="9" t="n"/>
      <c r="P253" s="6">
        <f>IF($A253="","",IF($M253="Inativo","Não",IF($N253="","Sim",IF(TODAY()-$N253&gt;180,"Sim","Não"))))</f>
        <v/>
      </c>
    </row>
    <row r="254">
      <c r="M254" s="9" t="n"/>
      <c r="N254" s="10" t="n"/>
      <c r="O254" s="9" t="n"/>
      <c r="P254" s="6">
        <f>IF($A254="","",IF($M254="Inativo","Não",IF($N254="","Sim",IF(TODAY()-$N254&gt;180,"Sim","Não"))))</f>
        <v/>
      </c>
    </row>
    <row r="255">
      <c r="M255" s="9" t="n"/>
      <c r="N255" s="10" t="n"/>
      <c r="O255" s="9" t="n"/>
      <c r="P255" s="6">
        <f>IF($A255="","",IF($M255="Inativo","Não",IF($N255="","Sim",IF(TODAY()-$N255&gt;180,"Sim","Não"))))</f>
        <v/>
      </c>
    </row>
    <row r="256">
      <c r="M256" s="9" t="n"/>
      <c r="N256" s="10" t="n"/>
      <c r="O256" s="9" t="n"/>
      <c r="P256" s="6">
        <f>IF($A256="","",IF($M256="Inativo","Não",IF($N256="","Sim",IF(TODAY()-$N256&gt;180,"Sim","Não"))))</f>
        <v/>
      </c>
    </row>
    <row r="257">
      <c r="M257" s="9" t="n"/>
      <c r="N257" s="10" t="n"/>
      <c r="O257" s="9" t="n"/>
      <c r="P257" s="6">
        <f>IF($A257="","",IF($M257="Inativo","Não",IF($N257="","Sim",IF(TODAY()-$N257&gt;180,"Sim","Não"))))</f>
        <v/>
      </c>
    </row>
    <row r="258">
      <c r="M258" s="9" t="n"/>
      <c r="N258" s="10" t="n"/>
      <c r="O258" s="9" t="n"/>
      <c r="P258" s="6">
        <f>IF($A258="","",IF($M258="Inativo","Não",IF($N258="","Sim",IF(TODAY()-$N258&gt;180,"Sim","Não"))))</f>
        <v/>
      </c>
    </row>
    <row r="259">
      <c r="M259" s="9" t="n"/>
      <c r="N259" s="10" t="n"/>
      <c r="O259" s="9" t="n"/>
      <c r="P259" s="6">
        <f>IF($A259="","",IF($M259="Inativo","Não",IF($N259="","Sim",IF(TODAY()-$N259&gt;180,"Sim","Não"))))</f>
        <v/>
      </c>
    </row>
    <row r="260">
      <c r="M260" s="9" t="n"/>
      <c r="N260" s="10" t="n"/>
      <c r="O260" s="9" t="n"/>
      <c r="P260" s="6">
        <f>IF($A260="","",IF($M260="Inativo","Não",IF($N260="","Sim",IF(TODAY()-$N260&gt;180,"Sim","Não"))))</f>
        <v/>
      </c>
    </row>
    <row r="261">
      <c r="M261" s="9" t="n"/>
      <c r="N261" s="10" t="n"/>
      <c r="O261" s="9" t="n"/>
      <c r="P261" s="6">
        <f>IF($A261="","",IF($M261="Inativo","Não",IF($N261="","Sim",IF(TODAY()-$N261&gt;180,"Sim","Não"))))</f>
        <v/>
      </c>
    </row>
    <row r="262">
      <c r="M262" s="9" t="n"/>
      <c r="N262" s="10" t="n"/>
      <c r="O262" s="9" t="n"/>
      <c r="P262" s="6">
        <f>IF($A262="","",IF($M262="Inativo","Não",IF($N262="","Sim",IF(TODAY()-$N262&gt;180,"Sim","Não"))))</f>
        <v/>
      </c>
    </row>
    <row r="263">
      <c r="M263" s="9" t="n"/>
      <c r="N263" s="10" t="n"/>
      <c r="O263" s="9" t="n"/>
      <c r="P263" s="6">
        <f>IF($A263="","",IF($M263="Inativo","Não",IF($N263="","Sim",IF(TODAY()-$N263&gt;180,"Sim","Não"))))</f>
        <v/>
      </c>
    </row>
    <row r="264">
      <c r="M264" s="9" t="n"/>
      <c r="N264" s="10" t="n"/>
      <c r="O264" s="9" t="n"/>
      <c r="P264" s="6">
        <f>IF($A264="","",IF($M264="Inativo","Não",IF($N264="","Sim",IF(TODAY()-$N264&gt;180,"Sim","Não"))))</f>
        <v/>
      </c>
    </row>
    <row r="265">
      <c r="M265" s="9" t="n"/>
      <c r="N265" s="10" t="n"/>
      <c r="O265" s="9" t="n"/>
      <c r="P265" s="6">
        <f>IF($A265="","",IF($M265="Inativo","Não",IF($N265="","Sim",IF(TODAY()-$N265&gt;180,"Sim","Não"))))</f>
        <v/>
      </c>
    </row>
    <row r="266">
      <c r="M266" s="9" t="n"/>
      <c r="N266" s="10" t="n"/>
      <c r="O266" s="9" t="n"/>
      <c r="P266" s="6">
        <f>IF($A266="","",IF($M266="Inativo","Não",IF($N266="","Sim",IF(TODAY()-$N266&gt;180,"Sim","Não"))))</f>
        <v/>
      </c>
    </row>
    <row r="267">
      <c r="M267" s="9" t="n"/>
      <c r="N267" s="10" t="n"/>
      <c r="O267" s="9" t="n"/>
      <c r="P267" s="6">
        <f>IF($A267="","",IF($M267="Inativo","Não",IF($N267="","Sim",IF(TODAY()-$N267&gt;180,"Sim","Não"))))</f>
        <v/>
      </c>
    </row>
    <row r="268">
      <c r="M268" s="9" t="n"/>
      <c r="N268" s="10" t="n"/>
      <c r="O268" s="9" t="n"/>
      <c r="P268" s="6">
        <f>IF($A268="","",IF($M268="Inativo","Não",IF($N268="","Sim",IF(TODAY()-$N268&gt;180,"Sim","Não"))))</f>
        <v/>
      </c>
    </row>
    <row r="269">
      <c r="M269" s="9" t="n"/>
      <c r="N269" s="10" t="n"/>
      <c r="O269" s="9" t="n"/>
      <c r="P269" s="6">
        <f>IF($A269="","",IF($M269="Inativo","Não",IF($N269="","Sim",IF(TODAY()-$N269&gt;180,"Sim","Não"))))</f>
        <v/>
      </c>
    </row>
    <row r="270">
      <c r="M270" s="9" t="n"/>
      <c r="N270" s="10" t="n"/>
      <c r="O270" s="9" t="n"/>
      <c r="P270" s="6">
        <f>IF($A270="","",IF($M270="Inativo","Não",IF($N270="","Sim",IF(TODAY()-$N270&gt;180,"Sim","Não"))))</f>
        <v/>
      </c>
    </row>
    <row r="271">
      <c r="M271" s="9" t="n"/>
      <c r="N271" s="10" t="n"/>
      <c r="O271" s="9" t="n"/>
      <c r="P271" s="6">
        <f>IF($A271="","",IF($M271="Inativo","Não",IF($N271="","Sim",IF(TODAY()-$N271&gt;180,"Sim","Não"))))</f>
        <v/>
      </c>
    </row>
    <row r="272">
      <c r="M272" s="9" t="n"/>
      <c r="N272" s="10" t="n"/>
      <c r="O272" s="9" t="n"/>
      <c r="P272" s="6">
        <f>IF($A272="","",IF($M272="Inativo","Não",IF($N272="","Sim",IF(TODAY()-$N272&gt;180,"Sim","Não"))))</f>
        <v/>
      </c>
    </row>
    <row r="273">
      <c r="M273" s="9" t="n"/>
      <c r="N273" s="10" t="n"/>
      <c r="O273" s="9" t="n"/>
      <c r="P273" s="6">
        <f>IF($A273="","",IF($M273="Inativo","Não",IF($N273="","Sim",IF(TODAY()-$N273&gt;180,"Sim","Não"))))</f>
        <v/>
      </c>
    </row>
    <row r="274">
      <c r="M274" s="9" t="n"/>
      <c r="N274" s="10" t="n"/>
      <c r="O274" s="9" t="n"/>
      <c r="P274" s="6">
        <f>IF($A274="","",IF($M274="Inativo","Não",IF($N274="","Sim",IF(TODAY()-$N274&gt;180,"Sim","Não"))))</f>
        <v/>
      </c>
    </row>
    <row r="275">
      <c r="M275" s="9" t="n"/>
      <c r="N275" s="10" t="n"/>
      <c r="O275" s="9" t="n"/>
      <c r="P275" s="6">
        <f>IF($A275="","",IF($M275="Inativo","Não",IF($N275="","Sim",IF(TODAY()-$N275&gt;180,"Sim","Não"))))</f>
        <v/>
      </c>
    </row>
    <row r="276">
      <c r="M276" s="9" t="n"/>
      <c r="N276" s="10" t="n"/>
      <c r="O276" s="9" t="n"/>
      <c r="P276" s="6">
        <f>IF($A276="","",IF($M276="Inativo","Não",IF($N276="","Sim",IF(TODAY()-$N276&gt;180,"Sim","Não"))))</f>
        <v/>
      </c>
    </row>
    <row r="277">
      <c r="M277" s="9" t="n"/>
      <c r="N277" s="10" t="n"/>
      <c r="O277" s="9" t="n"/>
      <c r="P277" s="6">
        <f>IF($A277="","",IF($M277="Inativo","Não",IF($N277="","Sim",IF(TODAY()-$N277&gt;180,"Sim","Não"))))</f>
        <v/>
      </c>
    </row>
    <row r="278">
      <c r="M278" s="9" t="n"/>
      <c r="N278" s="10" t="n"/>
      <c r="O278" s="9" t="n"/>
      <c r="P278" s="6">
        <f>IF($A278="","",IF($M278="Inativo","Não",IF($N278="","Sim",IF(TODAY()-$N278&gt;180,"Sim","Não"))))</f>
        <v/>
      </c>
    </row>
    <row r="279">
      <c r="M279" s="9" t="n"/>
      <c r="N279" s="10" t="n"/>
      <c r="O279" s="9" t="n"/>
      <c r="P279" s="6">
        <f>IF($A279="","",IF($M279="Inativo","Não",IF($N279="","Sim",IF(TODAY()-$N279&gt;180,"Sim","Não"))))</f>
        <v/>
      </c>
    </row>
    <row r="280">
      <c r="M280" s="9" t="n"/>
      <c r="N280" s="10" t="n"/>
      <c r="O280" s="9" t="n"/>
      <c r="P280" s="6">
        <f>IF($A280="","",IF($M280="Inativo","Não",IF($N280="","Sim",IF(TODAY()-$N280&gt;180,"Sim","Não"))))</f>
        <v/>
      </c>
    </row>
    <row r="281">
      <c r="M281" s="9" t="n"/>
      <c r="N281" s="10" t="n"/>
      <c r="O281" s="9" t="n"/>
      <c r="P281" s="6">
        <f>IF($A281="","",IF($M281="Inativo","Não",IF($N281="","Sim",IF(TODAY()-$N281&gt;180,"Sim","Não"))))</f>
        <v/>
      </c>
    </row>
    <row r="282">
      <c r="M282" s="9" t="n"/>
      <c r="N282" s="10" t="n"/>
      <c r="O282" s="9" t="n"/>
      <c r="P282" s="6">
        <f>IF($A282="","",IF($M282="Inativo","Não",IF($N282="","Sim",IF(TODAY()-$N282&gt;180,"Sim","Não"))))</f>
        <v/>
      </c>
    </row>
    <row r="283">
      <c r="M283" s="9" t="n"/>
      <c r="N283" s="10" t="n"/>
      <c r="O283" s="9" t="n"/>
      <c r="P283" s="6">
        <f>IF($A283="","",IF($M283="Inativo","Não",IF($N283="","Sim",IF(TODAY()-$N283&gt;180,"Sim","Não"))))</f>
        <v/>
      </c>
    </row>
    <row r="284">
      <c r="M284" s="9" t="n"/>
      <c r="N284" s="10" t="n"/>
      <c r="O284" s="9" t="n"/>
      <c r="P284" s="6">
        <f>IF($A284="","",IF($M284="Inativo","Não",IF($N284="","Sim",IF(TODAY()-$N284&gt;180,"Sim","Não"))))</f>
        <v/>
      </c>
    </row>
    <row r="285">
      <c r="M285" s="9" t="n"/>
      <c r="N285" s="10" t="n"/>
      <c r="O285" s="9" t="n"/>
      <c r="P285" s="6">
        <f>IF($A285="","",IF($M285="Inativo","Não",IF($N285="","Sim",IF(TODAY()-$N285&gt;180,"Sim","Não"))))</f>
        <v/>
      </c>
    </row>
    <row r="286">
      <c r="M286" s="9" t="n"/>
      <c r="N286" s="10" t="n"/>
      <c r="O286" s="9" t="n"/>
      <c r="P286" s="6">
        <f>IF($A286="","",IF($M286="Inativo","Não",IF($N286="","Sim",IF(TODAY()-$N286&gt;180,"Sim","Não"))))</f>
        <v/>
      </c>
    </row>
    <row r="287">
      <c r="M287" s="9" t="n"/>
      <c r="N287" s="10" t="n"/>
      <c r="O287" s="9" t="n"/>
      <c r="P287" s="6">
        <f>IF($A287="","",IF($M287="Inativo","Não",IF($N287="","Sim",IF(TODAY()-$N287&gt;180,"Sim","Não"))))</f>
        <v/>
      </c>
    </row>
    <row r="288">
      <c r="M288" s="9" t="n"/>
      <c r="N288" s="10" t="n"/>
      <c r="O288" s="9" t="n"/>
      <c r="P288" s="6">
        <f>IF($A288="","",IF($M288="Inativo","Não",IF($N288="","Sim",IF(TODAY()-$N288&gt;180,"Sim","Não"))))</f>
        <v/>
      </c>
    </row>
    <row r="289">
      <c r="M289" s="9" t="n"/>
      <c r="N289" s="10" t="n"/>
      <c r="O289" s="9" t="n"/>
      <c r="P289" s="6">
        <f>IF($A289="","",IF($M289="Inativo","Não",IF($N289="","Sim",IF(TODAY()-$N289&gt;180,"Sim","Não"))))</f>
        <v/>
      </c>
    </row>
    <row r="290">
      <c r="M290" s="9" t="n"/>
      <c r="N290" s="10" t="n"/>
      <c r="O290" s="9" t="n"/>
      <c r="P290" s="6">
        <f>IF($A290="","",IF($M290="Inativo","Não",IF($N290="","Sim",IF(TODAY()-$N290&gt;180,"Sim","Não"))))</f>
        <v/>
      </c>
    </row>
    <row r="291">
      <c r="M291" s="9" t="n"/>
      <c r="N291" s="10" t="n"/>
      <c r="O291" s="9" t="n"/>
      <c r="P291" s="6">
        <f>IF($A291="","",IF($M291="Inativo","Não",IF($N291="","Sim",IF(TODAY()-$N291&gt;180,"Sim","Não"))))</f>
        <v/>
      </c>
    </row>
    <row r="292">
      <c r="M292" s="9" t="n"/>
      <c r="N292" s="10" t="n"/>
      <c r="O292" s="9" t="n"/>
      <c r="P292" s="6">
        <f>IF($A292="","",IF($M292="Inativo","Não",IF($N292="","Sim",IF(TODAY()-$N292&gt;180,"Sim","Não"))))</f>
        <v/>
      </c>
    </row>
    <row r="293">
      <c r="M293" s="9" t="n"/>
      <c r="N293" s="10" t="n"/>
      <c r="O293" s="9" t="n"/>
      <c r="P293" s="6">
        <f>IF($A293="","",IF($M293="Inativo","Não",IF($N293="","Sim",IF(TODAY()-$N293&gt;180,"Sim","Não"))))</f>
        <v/>
      </c>
    </row>
    <row r="294">
      <c r="M294" s="9" t="n"/>
      <c r="N294" s="10" t="n"/>
      <c r="O294" s="9" t="n"/>
      <c r="P294" s="6">
        <f>IF($A294="","",IF($M294="Inativo","Não",IF($N294="","Sim",IF(TODAY()-$N294&gt;180,"Sim","Não"))))</f>
        <v/>
      </c>
    </row>
    <row r="295">
      <c r="M295" s="9" t="n"/>
      <c r="N295" s="10" t="n"/>
      <c r="O295" s="9" t="n"/>
      <c r="P295" s="6">
        <f>IF($A295="","",IF($M295="Inativo","Não",IF($N295="","Sim",IF(TODAY()-$N295&gt;180,"Sim","Não"))))</f>
        <v/>
      </c>
    </row>
    <row r="296">
      <c r="M296" s="9" t="n"/>
      <c r="N296" s="10" t="n"/>
      <c r="O296" s="9" t="n"/>
      <c r="P296" s="6">
        <f>IF($A296="","",IF($M296="Inativo","Não",IF($N296="","Sim",IF(TODAY()-$N296&gt;180,"Sim","Não"))))</f>
        <v/>
      </c>
    </row>
    <row r="297">
      <c r="M297" s="9" t="n"/>
      <c r="N297" s="10" t="n"/>
      <c r="O297" s="9" t="n"/>
      <c r="P297" s="6">
        <f>IF($A297="","",IF($M297="Inativo","Não",IF($N297="","Sim",IF(TODAY()-$N297&gt;180,"Sim","Não"))))</f>
        <v/>
      </c>
    </row>
    <row r="298">
      <c r="M298" s="9" t="n"/>
      <c r="N298" s="10" t="n"/>
      <c r="O298" s="9" t="n"/>
      <c r="P298" s="6">
        <f>IF($A298="","",IF($M298="Inativo","Não",IF($N298="","Sim",IF(TODAY()-$N298&gt;180,"Sim","Não"))))</f>
        <v/>
      </c>
    </row>
    <row r="299">
      <c r="M299" s="9" t="n"/>
      <c r="N299" s="10" t="n"/>
      <c r="O299" s="9" t="n"/>
      <c r="P299" s="6">
        <f>IF($A299="","",IF($M299="Inativo","Não",IF($N299="","Sim",IF(TODAY()-$N299&gt;180,"Sim","Não"))))</f>
        <v/>
      </c>
    </row>
    <row r="300">
      <c r="M300" s="9" t="n"/>
      <c r="N300" s="10" t="n"/>
      <c r="O300" s="9" t="n"/>
      <c r="P300" s="6">
        <f>IF($A300="","",IF($M300="Inativo","Não",IF($N300="","Sim",IF(TODAY()-$N300&gt;180,"Sim","Não"))))</f>
        <v/>
      </c>
    </row>
    <row r="301">
      <c r="M301" s="9" t="n"/>
      <c r="N301" s="10" t="n"/>
      <c r="O301" s="9" t="n"/>
      <c r="P301" s="6">
        <f>IF($A301="","",IF($M301="Inativo","Não",IF($N301="","Sim",IF(TODAY()-$N301&gt;180,"Sim","Não"))))</f>
        <v/>
      </c>
    </row>
    <row r="302">
      <c r="M302" s="9" t="n"/>
      <c r="N302" s="10" t="n"/>
      <c r="O302" s="9" t="n"/>
      <c r="P302" s="6">
        <f>IF($A302="","",IF($M302="Inativo","Não",IF($N302="","Sim",IF(TODAY()-$N302&gt;180,"Sim","Não"))))</f>
        <v/>
      </c>
    </row>
    <row r="303">
      <c r="M303" s="9" t="n"/>
      <c r="N303" s="10" t="n"/>
      <c r="O303" s="9" t="n"/>
      <c r="P303" s="6">
        <f>IF($A303="","",IF($M303="Inativo","Não",IF($N303="","Sim",IF(TODAY()-$N303&gt;180,"Sim","Não"))))</f>
        <v/>
      </c>
    </row>
    <row r="304">
      <c r="M304" s="9" t="n"/>
      <c r="N304" s="10" t="n"/>
      <c r="O304" s="9" t="n"/>
      <c r="P304" s="6">
        <f>IF($A304="","",IF($M304="Inativo","Não",IF($N304="","Sim",IF(TODAY()-$N304&gt;180,"Sim","Não"))))</f>
        <v/>
      </c>
    </row>
    <row r="305">
      <c r="M305" s="9" t="n"/>
      <c r="N305" s="10" t="n"/>
      <c r="O305" s="9" t="n"/>
      <c r="P305" s="6">
        <f>IF($A305="","",IF($M305="Inativo","Não",IF($N305="","Sim",IF(TODAY()-$N305&gt;180,"Sim","Não"))))</f>
        <v/>
      </c>
    </row>
    <row r="306">
      <c r="M306" s="9" t="n"/>
      <c r="N306" s="10" t="n"/>
      <c r="O306" s="9" t="n"/>
      <c r="P306" s="6">
        <f>IF($A306="","",IF($M306="Inativo","Não",IF($N306="","Sim",IF(TODAY()-$N306&gt;180,"Sim","Não"))))</f>
        <v/>
      </c>
    </row>
    <row r="307">
      <c r="M307" s="9" t="n"/>
      <c r="N307" s="10" t="n"/>
      <c r="O307" s="9" t="n"/>
      <c r="P307" s="6">
        <f>IF($A307="","",IF($M307="Inativo","Não",IF($N307="","Sim",IF(TODAY()-$N307&gt;180,"Sim","Não"))))</f>
        <v/>
      </c>
    </row>
    <row r="308">
      <c r="M308" s="9" t="n"/>
      <c r="N308" s="10" t="n"/>
      <c r="O308" s="9" t="n"/>
      <c r="P308" s="6">
        <f>IF($A308="","",IF($M308="Inativo","Não",IF($N308="","Sim",IF(TODAY()-$N308&gt;180,"Sim","Não"))))</f>
        <v/>
      </c>
    </row>
    <row r="309">
      <c r="M309" s="9" t="n"/>
      <c r="N309" s="10" t="n"/>
      <c r="O309" s="9" t="n"/>
      <c r="P309" s="6">
        <f>IF($A309="","",IF($M309="Inativo","Não",IF($N309="","Sim",IF(TODAY()-$N309&gt;180,"Sim","Não"))))</f>
        <v/>
      </c>
    </row>
    <row r="310">
      <c r="M310" s="9" t="n"/>
      <c r="N310" s="10" t="n"/>
      <c r="O310" s="9" t="n"/>
      <c r="P310" s="6">
        <f>IF($A310="","",IF($M310="Inativo","Não",IF($N310="","Sim",IF(TODAY()-$N310&gt;180,"Sim","Não"))))</f>
        <v/>
      </c>
    </row>
    <row r="311">
      <c r="M311" s="9" t="n"/>
      <c r="N311" s="10" t="n"/>
      <c r="O311" s="9" t="n"/>
      <c r="P311" s="6">
        <f>IF($A311="","",IF($M311="Inativo","Não",IF($N311="","Sim",IF(TODAY()-$N311&gt;180,"Sim","Não"))))</f>
        <v/>
      </c>
    </row>
    <row r="312">
      <c r="M312" s="9" t="n"/>
      <c r="N312" s="10" t="n"/>
      <c r="O312" s="9" t="n"/>
      <c r="P312" s="6">
        <f>IF($A312="","",IF($M312="Inativo","Não",IF($N312="","Sim",IF(TODAY()-$N312&gt;180,"Sim","Não"))))</f>
        <v/>
      </c>
    </row>
    <row r="313">
      <c r="M313" s="9" t="n"/>
      <c r="N313" s="10" t="n"/>
      <c r="O313" s="9" t="n"/>
      <c r="P313" s="6">
        <f>IF($A313="","",IF($M313="Inativo","Não",IF($N313="","Sim",IF(TODAY()-$N313&gt;180,"Sim","Não"))))</f>
        <v/>
      </c>
    </row>
    <row r="314">
      <c r="M314" s="9" t="n"/>
      <c r="N314" s="10" t="n"/>
      <c r="O314" s="9" t="n"/>
      <c r="P314" s="6">
        <f>IF($A314="","",IF($M314="Inativo","Não",IF($N314="","Sim",IF(TODAY()-$N314&gt;180,"Sim","Não"))))</f>
        <v/>
      </c>
    </row>
    <row r="315">
      <c r="M315" s="9" t="n"/>
      <c r="N315" s="10" t="n"/>
      <c r="O315" s="9" t="n"/>
      <c r="P315" s="6">
        <f>IF($A315="","",IF($M315="Inativo","Não",IF($N315="","Sim",IF(TODAY()-$N315&gt;180,"Sim","Não"))))</f>
        <v/>
      </c>
    </row>
    <row r="316">
      <c r="M316" s="9" t="n"/>
      <c r="N316" s="10" t="n"/>
      <c r="O316" s="9" t="n"/>
      <c r="P316" s="6">
        <f>IF($A316="","",IF($M316="Inativo","Não",IF($N316="","Sim",IF(TODAY()-$N316&gt;180,"Sim","Não"))))</f>
        <v/>
      </c>
    </row>
    <row r="317">
      <c r="M317" s="9" t="n"/>
      <c r="N317" s="10" t="n"/>
      <c r="O317" s="9" t="n"/>
      <c r="P317" s="6">
        <f>IF($A317="","",IF($M317="Inativo","Não",IF($N317="","Sim",IF(TODAY()-$N317&gt;180,"Sim","Não"))))</f>
        <v/>
      </c>
    </row>
    <row r="318">
      <c r="M318" s="9" t="n"/>
      <c r="N318" s="10" t="n"/>
      <c r="O318" s="9" t="n"/>
      <c r="P318" s="6">
        <f>IF($A318="","",IF($M318="Inativo","Não",IF($N318="","Sim",IF(TODAY()-$N318&gt;180,"Sim","Não"))))</f>
        <v/>
      </c>
    </row>
    <row r="319">
      <c r="M319" s="9" t="n"/>
      <c r="N319" s="10" t="n"/>
      <c r="O319" s="9" t="n"/>
      <c r="P319" s="6">
        <f>IF($A319="","",IF($M319="Inativo","Não",IF($N319="","Sim",IF(TODAY()-$N319&gt;180,"Sim","Não"))))</f>
        <v/>
      </c>
    </row>
    <row r="320">
      <c r="M320" s="9" t="n"/>
      <c r="N320" s="10" t="n"/>
      <c r="O320" s="9" t="n"/>
      <c r="P320" s="6">
        <f>IF($A320="","",IF($M320="Inativo","Não",IF($N320="","Sim",IF(TODAY()-$N320&gt;180,"Sim","Não"))))</f>
        <v/>
      </c>
    </row>
    <row r="321">
      <c r="M321" s="9" t="n"/>
      <c r="N321" s="10" t="n"/>
      <c r="O321" s="9" t="n"/>
      <c r="P321" s="6">
        <f>IF($A321="","",IF($M321="Inativo","Não",IF($N321="","Sim",IF(TODAY()-$N321&gt;180,"Sim","Não"))))</f>
        <v/>
      </c>
    </row>
    <row r="322">
      <c r="M322" s="9" t="n"/>
      <c r="N322" s="10" t="n"/>
      <c r="O322" s="9" t="n"/>
      <c r="P322" s="6">
        <f>IF($A322="","",IF($M322="Inativo","Não",IF($N322="","Sim",IF(TODAY()-$N322&gt;180,"Sim","Não"))))</f>
        <v/>
      </c>
    </row>
    <row r="323">
      <c r="M323" s="9" t="n"/>
      <c r="N323" s="10" t="n"/>
      <c r="O323" s="9" t="n"/>
      <c r="P323" s="6">
        <f>IF($A323="","",IF($M323="Inativo","Não",IF($N323="","Sim",IF(TODAY()-$N323&gt;180,"Sim","Não"))))</f>
        <v/>
      </c>
    </row>
    <row r="324">
      <c r="M324" s="9" t="n"/>
      <c r="N324" s="10" t="n"/>
      <c r="O324" s="9" t="n"/>
      <c r="P324" s="6">
        <f>IF($A324="","",IF($M324="Inativo","Não",IF($N324="","Sim",IF(TODAY()-$N324&gt;180,"Sim","Não"))))</f>
        <v/>
      </c>
    </row>
    <row r="325">
      <c r="M325" s="9" t="n"/>
      <c r="N325" s="10" t="n"/>
      <c r="O325" s="9" t="n"/>
      <c r="P325" s="6">
        <f>IF($A325="","",IF($M325="Inativo","Não",IF($N325="","Sim",IF(TODAY()-$N325&gt;180,"Sim","Não"))))</f>
        <v/>
      </c>
    </row>
    <row r="326">
      <c r="M326" s="9" t="n"/>
      <c r="N326" s="10" t="n"/>
      <c r="O326" s="9" t="n"/>
      <c r="P326" s="6">
        <f>IF($A326="","",IF($M326="Inativo","Não",IF($N326="","Sim",IF(TODAY()-$N326&gt;180,"Sim","Não"))))</f>
        <v/>
      </c>
    </row>
    <row r="327">
      <c r="M327" s="9" t="n"/>
      <c r="N327" s="10" t="n"/>
      <c r="O327" s="9" t="n"/>
      <c r="P327" s="6">
        <f>IF($A327="","",IF($M327="Inativo","Não",IF($N327="","Sim",IF(TODAY()-$N327&gt;180,"Sim","Não"))))</f>
        <v/>
      </c>
    </row>
  </sheetData>
  <autoFilter ref="A1:P127"/>
  <dataValidations count="1">
    <dataValidation sqref="M2:M327" showDropDown="0" showInputMessage="0" showErrorMessage="0" allowBlank="1" type="list">
      <formula1>"Ativo,A conferir,Inativo"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47"/>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22" customWidth="1" min="3" max="3"/>
    <col width="12" customWidth="1" min="4" max="4"/>
    <col width="28" customWidth="1" min="5" max="5"/>
    <col width="90" customWidth="1" min="6" max="6"/>
    <col width="44" customWidth="1" min="7" max="7"/>
    <col width="16" customWidth="1" min="8" max="8"/>
    <col width="30" customWidth="1" min="9" max="9"/>
    <col width="28" customWidth="1" min="10" max="10"/>
    <col width="13" customWidth="1" min="11" max="11"/>
    <col width="36" customWidth="1" min="12" max="12"/>
  </cols>
  <sheetData>
    <row r="1" ht="32" customHeight="1">
      <c r="A1" s="5" t="inlineStr">
        <is>
          <t>ID (não altere)</t>
        </is>
      </c>
      <c r="B1" s="5" t="inlineStr">
        <is>
          <t>Nome</t>
        </is>
      </c>
      <c r="C1" s="5" t="inlineStr">
        <is>
          <t>Nome curto</t>
        </is>
      </c>
      <c r="D1" s="5" t="inlineStr">
        <is>
          <t>Esfera</t>
        </is>
      </c>
      <c r="E1" s="5" t="inlineStr">
        <is>
          <t>Valor ou benefício</t>
        </is>
      </c>
      <c r="F1" s="5" t="inlineStr">
        <is>
          <t>Passo a passo (um passo por linha)</t>
        </is>
      </c>
      <c r="G1" s="5" t="inlineStr">
        <is>
          <t>Documentos (um por linha)</t>
        </is>
      </c>
      <c r="H1" s="5" t="inlineStr">
        <is>
          <t>Onde ir (tipo de lugar)</t>
        </is>
      </c>
      <c r="I1" s="5" t="inlineStr">
        <is>
          <t>Outros contatos (IDs da aba Serviços)</t>
        </is>
      </c>
      <c r="J1" s="5" t="inlineStr">
        <is>
          <t>Fonte</t>
        </is>
      </c>
      <c r="K1" s="5" t="inlineStr">
        <is>
          <t>Conferido em</t>
        </is>
      </c>
      <c r="L1" s="5" t="inlineStr">
        <is>
          <t>Mudança de critério pedida</t>
        </is>
      </c>
    </row>
    <row r="2">
      <c r="A2" s="6" t="inlineStr">
        <is>
          <t>cad</t>
        </is>
      </c>
      <c r="B2" s="3" t="inlineStr">
        <is>
          <t>Cadastro Único (CadÚnico)</t>
        </is>
      </c>
      <c r="C2" s="6" t="inlineStr">
        <is>
          <t>CadÚnico</t>
        </is>
      </c>
      <c r="D2" s="6" t="inlineStr">
        <is>
          <t>Nacional</t>
        </is>
      </c>
      <c r="E2" s="3" t="inlineStr">
        <is>
          <t>Porta de entrada</t>
        </is>
      </c>
      <c r="F2" s="3" t="inlineStr">
        <is>
          <t>Procurar o CRAS de referência com documento com foto e CPF de todos da casa e comprovante de endereço.
Responder à entrevista com o entrevistador do CadÚnico.
Guardar o número do NIS e atualizar sempre que mudar endereço, renda ou composição da família (no máximo a cada 2 anos).</t>
        </is>
      </c>
      <c r="G2" s="3" t="inlineStr">
        <is>
          <t>CPF de todos da casa (ou título de eleitor)
Documento com foto do responsável familiar
Comprovante de endereço (ajuda, não é obrigatório)
Carteira de trabalho, se tiver</t>
        </is>
      </c>
      <c r="H2" s="6" t="inlineStr">
        <is>
          <t>cras</t>
        </is>
      </c>
      <c r="I2" s="6" t="inlineStr">
        <is>
          <t>121</t>
        </is>
      </c>
      <c r="J2" s="6" t="inlineStr">
        <is>
          <t>Ver aba Fontes e docs/levantamento-2026-10-08.md</t>
        </is>
      </c>
      <c r="K2" s="8" t="n"/>
      <c r="L2" s="4" t="n"/>
    </row>
    <row r="3">
      <c r="A3" s="6" t="inlineStr">
        <is>
          <t>pbf</t>
        </is>
      </c>
      <c r="B3" s="3" t="inlineStr">
        <is>
          <t>Bolsa Família</t>
        </is>
      </c>
      <c r="C3" s="6" t="inlineStr"/>
      <c r="D3" s="6" t="inlineStr">
        <is>
          <t>Nacional</t>
        </is>
      </c>
      <c r="E3" s="3" t="inlineStr">
        <is>
          <t>mín. R$ 600/família + adicionais</t>
        </is>
      </c>
      <c r="F3" s="3" t="inlineStr">
        <is>
          <t>Fazer ou atualizar o CadÚnico no CRAS.
A seleção é automática pelo governo federal, conforme orçamento e ordem de renda.
Acompanhar pelo app Bolsa Família, Caixa Tem ou pelo 121.
Manter as condicionalidades: vacinação, pré-natal e frequência escolar.</t>
        </is>
      </c>
      <c r="G3" s="3" t="inlineStr">
        <is>
          <t>Os mesmos do CadÚnico</t>
        </is>
      </c>
      <c r="H3" s="6" t="inlineStr">
        <is>
          <t>cras</t>
        </is>
      </c>
      <c r="I3" s="6" t="inlineStr">
        <is>
          <t>121</t>
        </is>
      </c>
      <c r="J3" s="6" t="inlineStr">
        <is>
          <t>Ver aba Fontes e docs/levantamento-2026-10-08.md</t>
        </is>
      </c>
      <c r="K3" s="8" t="n"/>
      <c r="L3" s="4" t="n"/>
    </row>
    <row r="4">
      <c r="A4" s="6" t="inlineStr">
        <is>
          <t>bpc</t>
        </is>
      </c>
      <c r="B4" s="3" t="inlineStr">
        <is>
          <t>BPC, Benefício de Prestação Continuada</t>
        </is>
      </c>
      <c r="C4" s="6" t="inlineStr">
        <is>
          <t>BPC</t>
        </is>
      </c>
      <c r="D4" s="6" t="inlineStr">
        <is>
          <t>Nacional</t>
        </is>
      </c>
      <c r="E4" s="3" t="inlineStr">
        <is>
          <t>1 salário mínimo/mês</t>
        </is>
      </c>
      <c r="F4" s="3" t="inlineStr">
        <is>
          <t>Ter o CadÚnico atualizado (obrigatório).
Pedir pelo Meu INSS ou pelo 135.
Pessoa com deficiência: fazer avaliação social e perícia médica no INSS.
Se negado, procurar a Defensoria Pública para recorrer.</t>
        </is>
      </c>
      <c r="G4" s="3" t="inlineStr">
        <is>
          <t>Documento com foto e CPF do requerente e da família
Laudos e exames (pessoa com deficiência)
Número do NIS</t>
        </is>
      </c>
      <c r="H4" s="6" t="inlineStr">
        <is>
          <t>cras</t>
        </is>
      </c>
      <c r="I4" s="6" t="inlineStr">
        <is>
          <t>135, dpe, mpf, puc-npj</t>
        </is>
      </c>
      <c r="J4" s="6" t="inlineStr">
        <is>
          <t>Ver aba Fontes e docs/levantamento-2026-10-08.md</t>
        </is>
      </c>
      <c r="K4" s="8" t="n"/>
      <c r="L4" s="4" t="n"/>
    </row>
    <row r="5">
      <c r="A5" s="6" t="inlineStr">
        <is>
          <t>tse</t>
        </is>
      </c>
      <c r="B5" s="3" t="inlineStr">
        <is>
          <t>Tarifa Social de Energia Elétrica</t>
        </is>
      </c>
      <c r="C5" s="6" t="inlineStr">
        <is>
          <t>Tarifa Social</t>
        </is>
      </c>
      <c r="D5" s="6" t="inlineStr">
        <is>
          <t>Nacional</t>
        </is>
      </c>
      <c r="E5" s="3" t="inlineStr">
        <is>
          <t>Luz grátis até 80 kWh/mês</t>
        </is>
      </c>
      <c r="F5" s="3" t="inlineStr">
        <is>
          <t>Ter o CadÚnico atualizado, com o endereço da conta de luz.
Desde julho de 2025, o consumo até 80 kWh por mês é gratuito; o que passar disso é cobrado normalmente. Impostos e iluminação pública continuam na conta.
A concessão costuma ser automática. Se não aparecer, pedir à distribuidora (Equatorial Goiás) informando o NIS.
A conta precisa estar no nome de alguém da família.</t>
        </is>
      </c>
      <c r="G5" s="3" t="inlineStr">
        <is>
          <t>NIS
Conta de luz no nome de alguém da família</t>
        </is>
      </c>
      <c r="H5" s="6" t="inlineStr">
        <is>
          <t>cras</t>
        </is>
      </c>
      <c r="I5" s="6" t="inlineStr"/>
      <c r="J5" s="6" t="inlineStr">
        <is>
          <t>Ver aba Fontes e docs/levantamento-2026-10-08.md</t>
        </is>
      </c>
      <c r="K5" s="8" t="n"/>
      <c r="L5" s="4" t="n"/>
    </row>
    <row r="6">
      <c r="A6" s="6" t="inlineStr">
        <is>
          <t>gas</t>
        </is>
      </c>
      <c r="B6" s="3" t="inlineStr">
        <is>
          <t>Gás do Povo (botijão gratuito)</t>
        </is>
      </c>
      <c r="C6" s="6" t="inlineStr">
        <is>
          <t>Gás do Povo</t>
        </is>
      </c>
      <c r="D6" s="6" t="inlineStr">
        <is>
          <t>Nacional</t>
        </is>
      </c>
      <c r="E6" s="3" t="inlineStr">
        <is>
          <t>Botijão de 13 kg sem custo</t>
        </is>
      </c>
      <c r="F6" s="3" t="inlineStr">
        <is>
          <t>Não há inscrição: o MDS seleciona pelo CadÚnico (atualizado nos últimos 24 meses), com prioridade para quem recebe Bolsa Família.
Consultar pelo app Meu Social ou pelo 121.
Selecionado: levar o botijão vazio a uma revenda credenciada e trocar pelo cheio, sem pagar.
O governo não cobra taxa: desconfie de quem pedir dinheiro.</t>
        </is>
      </c>
      <c r="G6" s="3" t="inlineStr">
        <is>
          <t>CPF do responsável familiar</t>
        </is>
      </c>
      <c r="H6" s="6" t="inlineStr">
        <is>
          <t>cras</t>
        </is>
      </c>
      <c r="I6" s="6" t="inlineStr">
        <is>
          <t>121</t>
        </is>
      </c>
      <c r="J6" s="6" t="inlineStr">
        <is>
          <t>Ver aba Fontes e docs/levantamento-2026-10-08.md</t>
        </is>
      </c>
      <c r="K6" s="8" t="n"/>
      <c r="L6" s="4" t="n"/>
    </row>
    <row r="7">
      <c r="A7" s="6" t="inlineStr">
        <is>
          <t>mcmv</t>
        </is>
      </c>
      <c r="B7" s="3" t="inlineStr">
        <is>
          <t>Minha Casa, Minha Vida (Faixa 1)</t>
        </is>
      </c>
      <c r="C7" s="6" t="inlineStr">
        <is>
          <t>Minha Casa, Minha Vida</t>
        </is>
      </c>
      <c r="D7" s="6" t="inlineStr">
        <is>
          <t>Nacional</t>
        </is>
      </c>
      <c r="E7" s="3" t="inlineStr">
        <is>
          <t>Moradia subsidiada</t>
        </is>
      </c>
      <c r="F7" s="3" t="inlineStr">
        <is>
          <t>Faixa 1 (baixa renda): inscrição pela prefeitura (Goiânia: site e app Prefeitura 24h) ou pela Agehab, quando abrem cadastro. Faixas 2 e 3: direto na Caixa.
Ter o CadÚnico atualizado.
Acompanhar a abertura de cadastros: a seleção segue os critérios do edital (mulher chefe de família, PcD, idoso, área de risco, violência doméstica).
Enquanto espera: Aluguel Social (Agehab), se tiver direito.</t>
        </is>
      </c>
      <c r="G7" s="3" t="inlineStr">
        <is>
          <t>Documento com foto e CPF de todos
Comprovante de renda
CadÚnico</t>
        </is>
      </c>
      <c r="H7" s="6" t="inlineStr"/>
      <c r="I7" s="6" t="inlineStr">
        <is>
          <t>agehab</t>
        </is>
      </c>
      <c r="J7" s="6" t="inlineStr">
        <is>
          <t>Ver aba Fontes e docs/levantamento-2026-10-08.md</t>
        </is>
      </c>
      <c r="K7" s="8" t="n"/>
      <c r="L7" s="4" t="n"/>
    </row>
    <row r="8">
      <c r="A8" s="6" t="inlineStr">
        <is>
          <t>pdm</t>
        </is>
      </c>
      <c r="B8" s="3" t="inlineStr">
        <is>
          <t>Pé-de-Meia</t>
        </is>
      </c>
      <c r="C8" s="6" t="inlineStr"/>
      <c r="D8" s="6" t="inlineStr">
        <is>
          <t>Nacional</t>
        </is>
      </c>
      <c r="E8" s="3" t="inlineStr">
        <is>
          <t>Poupança para estudante</t>
        </is>
      </c>
      <c r="F8" s="3" t="inlineStr">
        <is>
          <t>Manter matrícula e frequência no ensino médio público.
Família com CadÚnico atualizado.
Consultar pelo app Jornada do Estudante ou pela escola.</t>
        </is>
      </c>
      <c r="G8" s="3" t="inlineStr">
        <is>
          <t>CPF do estudante</t>
        </is>
      </c>
      <c r="H8" s="6" t="inlineStr">
        <is>
          <t>cras</t>
        </is>
      </c>
      <c r="I8" s="6" t="inlineStr"/>
      <c r="J8" s="6" t="inlineStr">
        <is>
          <t>Ver aba Fontes e docs/levantamento-2026-10-08.md</t>
        </is>
      </c>
      <c r="K8" s="8" t="n"/>
      <c r="L8" s="4" t="n"/>
    </row>
    <row r="9">
      <c r="A9" s="6" t="inlineStr">
        <is>
          <t>cpi</t>
        </is>
      </c>
      <c r="B9" s="3" t="inlineStr">
        <is>
          <t>Carteira da Pessoa Idosa</t>
        </is>
      </c>
      <c r="C9" s="6" t="inlineStr">
        <is>
          <t>Carteira da Pessoa Idosa</t>
        </is>
      </c>
      <c r="D9" s="6" t="inlineStr">
        <is>
          <t>Nacional</t>
        </is>
      </c>
      <c r="E9" s="3" t="inlineStr">
        <is>
          <t>Passagem interestadual gratuita ou com desconto</t>
        </is>
      </c>
      <c r="F9" s="3" t="inlineStr">
        <is>
          <t>Fazer ou atualizar o CadÚnico.
Emitir a carteira no CRAS ou pelo site da Carteira da Pessoa Idosa (MDS).
Reservar a vaga na empresa de ônibus com antecedência.</t>
        </is>
      </c>
      <c r="G9" s="3" t="inlineStr">
        <is>
          <t>Documento com foto
NIS</t>
        </is>
      </c>
      <c r="H9" s="6" t="inlineStr">
        <is>
          <t>cras</t>
        </is>
      </c>
      <c r="I9" s="6" t="inlineStr"/>
      <c r="J9" s="6" t="inlineStr">
        <is>
          <t>Ver aba Fontes e docs/levantamento-2026-10-08.md</t>
        </is>
      </c>
      <c r="K9" s="8" t="n"/>
      <c r="L9" s="4" t="n"/>
    </row>
    <row r="10">
      <c r="A10" s="6" t="inlineStr">
        <is>
          <t>plfed</t>
        </is>
      </c>
      <c r="B10" s="3" t="inlineStr">
        <is>
          <t>Passe Livre interestadual (pessoa com deficiência)</t>
        </is>
      </c>
      <c r="C10" s="6" t="inlineStr">
        <is>
          <t>Passe Livre interestadual</t>
        </is>
      </c>
      <c r="D10" s="6" t="inlineStr">
        <is>
          <t>Nacional</t>
        </is>
      </c>
      <c r="E10" s="3" t="inlineStr">
        <is>
          <t>Viagem interestadual gratuita</t>
        </is>
      </c>
      <c r="F10" s="3" t="inlineStr">
        <is>
          <t>Pedir pelo site do Ministério dos Transportes (Passe Livre).
Anexar laudo médico e comprovante de renda ou CadÚnico.</t>
        </is>
      </c>
      <c r="G10" s="3" t="inlineStr">
        <is>
          <t>Laudo
Documento com foto
CadÚnico ou comprovante de renda</t>
        </is>
      </c>
      <c r="H10" s="6" t="inlineStr">
        <is>
          <t>cras</t>
        </is>
      </c>
      <c r="I10" s="6" t="inlineStr"/>
      <c r="J10" s="6" t="inlineStr">
        <is>
          <t>Ver aba Fontes e docs/levantamento-2026-10-08.md</t>
        </is>
      </c>
      <c r="K10" s="8" t="n"/>
      <c r="L10" s="4" t="n"/>
    </row>
    <row r="11">
      <c r="A11" s="6" t="inlineStr">
        <is>
          <t>maes</t>
        </is>
      </c>
      <c r="B11" s="3" t="inlineStr">
        <is>
          <t>Mães de Goiás</t>
        </is>
      </c>
      <c r="C11" s="6" t="inlineStr"/>
      <c r="D11" s="6" t="inlineStr">
        <is>
          <t>Estadual</t>
        </is>
      </c>
      <c r="E11" s="3" t="inlineStr">
        <is>
          <t>R$ 300/mês</t>
        </is>
      </c>
      <c r="F11" s="3" t="inlineStr">
        <is>
          <t>Não tem inscrição. O Estado seleciona 1 ou 2 vezes por ano pela base do CadÚnico.
Manter o CadÚnico atualizado no CRAS, com vacinação e frequência escolar das crianças em dia.
A prefeitura avisa por SMS ou WhatsApp o dia e o local de entrega do cartão.
Consultar situação em suas.social.go.gov.br/consulta-maesdegoias. 2ª via só pelo (62) 3270-9610.</t>
        </is>
      </c>
      <c r="G11" s="3" t="inlineStr">
        <is>
          <t>Documento com foto e CPF da beneficiária (para retirar o cartão)</t>
        </is>
      </c>
      <c r="H11" s="6" t="inlineStr">
        <is>
          <t>cras</t>
        </is>
      </c>
      <c r="I11" s="6" t="inlineStr">
        <is>
          <t>mxc</t>
        </is>
      </c>
      <c r="J11" s="6" t="inlineStr">
        <is>
          <t>Ver aba Fontes e docs/levantamento-2026-10-08.md</t>
        </is>
      </c>
      <c r="K11" s="8" t="n"/>
      <c r="L11" s="4" t="n"/>
    </row>
    <row r="12">
      <c r="A12" s="6" t="inlineStr">
        <is>
          <t>inclusivo</t>
        </is>
      </c>
      <c r="B12" s="3" t="inlineStr">
        <is>
          <t>Goiás + Inclusivo</t>
        </is>
      </c>
      <c r="C12" s="6" t="inlineStr"/>
      <c r="D12" s="6" t="inlineStr">
        <is>
          <t>Estadual</t>
        </is>
      </c>
      <c r="E12" s="3" t="inlineStr">
        <is>
          <t>R$ 500/mês</t>
        </is>
      </c>
      <c r="F12" s="3" t="inlineStr">
        <is>
          <t>Seleção automática pelo CadÚnico, sem inscrição.
Conferir no CRAS se a deficiência está registrada no cadastro.
O município avisa a data de entrega do cartão.</t>
        </is>
      </c>
      <c r="G12" s="3" t="inlineStr">
        <is>
          <t>Documento da pessoa com deficiência e do responsável</t>
        </is>
      </c>
      <c r="H12" s="6" t="inlineStr">
        <is>
          <t>cras</t>
        </is>
      </c>
      <c r="I12" s="6" t="inlineStr">
        <is>
          <t>mxc</t>
        </is>
      </c>
      <c r="J12" s="6" t="inlineStr">
        <is>
          <t>Ver aba Fontes e docs/levantamento-2026-10-08.md</t>
        </is>
      </c>
      <c r="K12" s="8" t="n"/>
      <c r="L12" s="4" t="n"/>
    </row>
    <row r="13">
      <c r="A13" s="6" t="inlineStr">
        <is>
          <t>dignidade</t>
        </is>
      </c>
      <c r="B13" s="3" t="inlineStr">
        <is>
          <t>Dignidade</t>
        </is>
      </c>
      <c r="C13" s="6" t="inlineStr"/>
      <c r="D13" s="6" t="inlineStr">
        <is>
          <t>Estadual</t>
        </is>
      </c>
      <c r="E13" s="3" t="inlineStr">
        <is>
          <t>R$ 300/mês</t>
        </is>
      </c>
      <c r="F13" s="3" t="inlineStr">
        <is>
          <t>Sem inscrição: entrada automática pelo CadÚnico.
Manter o CadÚnico atualizado no CRAS.
Dúvidas e 2ª via: (62) 3270-9610.</t>
        </is>
      </c>
      <c r="G13" s="3" t="inlineStr">
        <is>
          <t>Documento com foto</t>
        </is>
      </c>
      <c r="H13" s="6" t="inlineStr">
        <is>
          <t>cras</t>
        </is>
      </c>
      <c r="I13" s="6" t="inlineStr">
        <is>
          <t>mxc</t>
        </is>
      </c>
      <c r="J13" s="6" t="inlineStr">
        <is>
          <t>Ver aba Fontes e docs/levantamento-2026-10-08.md</t>
        </is>
      </c>
      <c r="K13" s="8" t="n"/>
      <c r="L13" s="4" t="n"/>
    </row>
    <row r="14">
      <c r="A14" s="6" t="inlineStr">
        <is>
          <t>porelas</t>
        </is>
      </c>
      <c r="B14" s="3" t="inlineStr">
        <is>
          <t>Goiás Por Elas</t>
        </is>
      </c>
      <c r="C14" s="6" t="inlineStr"/>
      <c r="D14" s="6" t="inlineStr">
        <is>
          <t>Estadual</t>
        </is>
      </c>
      <c r="E14" s="3" t="inlineStr">
        <is>
          <t>R$ 300/mês por até 12 meses</t>
        </is>
      </c>
      <c r="F14" s="3" t="inlineStr">
        <is>
          <t>Não há inscrição: a medida protetiva é enviada à Seds pelo TJGO, Defensoria ou Batalhão Maria da Penha.
Manter o CadÚnico atualizado.
A Seds entra em contato para entrega do cartão. Vale enquanto a medida estiver ativa, até 12 meses.</t>
        </is>
      </c>
      <c r="G14" s="3" t="inlineStr">
        <is>
          <t>Cópia da medida protetiva
Documento com foto</t>
        </is>
      </c>
      <c r="H14" s="6" t="inlineStr"/>
      <c r="I14" s="6" t="inlineStr">
        <is>
          <t>mulherseds, dpe</t>
        </is>
      </c>
      <c r="J14" s="6" t="inlineStr">
        <is>
          <t>Ver aba Fontes e docs/levantamento-2026-10-08.md</t>
        </is>
      </c>
      <c r="K14" s="8" t="n"/>
      <c r="L14" s="4" t="n"/>
    </row>
    <row r="15">
      <c r="A15" s="6" t="inlineStr">
        <is>
          <t>aluguel</t>
        </is>
      </c>
      <c r="B15" s="3" t="inlineStr">
        <is>
          <t>Pra Ter Onde Morar, Aluguel Social</t>
        </is>
      </c>
      <c r="C15" s="6" t="inlineStr">
        <is>
          <t>Aluguel Social</t>
        </is>
      </c>
      <c r="D15" s="6" t="inlineStr">
        <is>
          <t>Estadual</t>
        </is>
      </c>
      <c r="E15" s="3" t="inlineStr">
        <is>
          <t>R$ 350/mês por 18 meses</t>
        </is>
      </c>
      <c r="F15" s="3" t="inlineStr">
        <is>
          <t>Inscrição online em aluguelsocial.agehab.go.gov.br ou no app Aluguel Social (Android).
Anexar documentos; análise por ordem de inscrição.
Indeferida? Corrigir ou recorrer pelo próprio app.
O CRAS pode ajudar a fazer a inscrição.</t>
        </is>
      </c>
      <c r="G15" s="3" t="inlineStr">
        <is>
          <t>Comprovantes de água e energia
Comprovante de 3 anos no município
Contrato ou recibo de aluguel
CadÚnico ativo</t>
        </is>
      </c>
      <c r="H15" s="6" t="inlineStr">
        <is>
          <t>cras</t>
        </is>
      </c>
      <c r="I15" s="6" t="inlineStr">
        <is>
          <t>agehab</t>
        </is>
      </c>
      <c r="J15" s="6" t="inlineStr">
        <is>
          <t>Ver aba Fontes e docs/levantamento-2026-10-08.md</t>
        </is>
      </c>
      <c r="K15" s="8" t="n"/>
      <c r="L15" s="4" t="n"/>
    </row>
    <row r="16">
      <c r="A16" s="6" t="inlineStr">
        <is>
          <t>ple</t>
        </is>
      </c>
      <c r="B16" s="3" t="inlineStr">
        <is>
          <t>Passe Livre Estudantil</t>
        </is>
      </c>
      <c r="C16" s="6" t="inlineStr"/>
      <c r="D16" s="6" t="inlineStr">
        <is>
          <t>Estadual</t>
        </is>
      </c>
      <c r="E16" s="3" t="inlineStr">
        <is>
          <t>48 viagens/mês</t>
        </is>
      </c>
      <c r="F16" s="3" t="inlineStr">
        <is>
          <t>Cadastro em juventude.go.gov.br com documentos e foto.
Aprovado, agendar a retirada no Vapt Vupt em vaptvupt.go.gov.br/agendamento.
Recadastro a cada período letivo. Bloqueio: justificar pelo site da SitPass.</t>
        </is>
      </c>
      <c r="G16" s="3" t="inlineStr">
        <is>
          <t>RG
CPF
Comprovante de endereço
Comprovante de matrícula
Foto 3x4</t>
        </is>
      </c>
      <c r="H16" s="6" t="inlineStr"/>
      <c r="I16" s="6" t="inlineStr">
        <is>
          <t>juventude</t>
        </is>
      </c>
      <c r="J16" s="6" t="inlineStr">
        <is>
          <t>Ver aba Fontes e docs/levantamento-2026-10-08.md</t>
        </is>
      </c>
      <c r="K16" s="8" t="n"/>
      <c r="L16" s="4" t="n"/>
    </row>
    <row r="17">
      <c r="A17" s="6" t="inlineStr">
        <is>
          <t>aprendiz</t>
        </is>
      </c>
      <c r="B17" s="3" t="inlineStr">
        <is>
          <t>Aprendiz do Futuro</t>
        </is>
      </c>
      <c r="C17" s="6" t="inlineStr"/>
      <c r="D17" s="6" t="inlineStr">
        <is>
          <t>Estadual</t>
        </is>
      </c>
      <c r="E17" s="3" t="inlineStr">
        <is>
          <t>Socioaprendizagem remunerada</t>
        </is>
      </c>
      <c r="F17" s="3" t="inlineStr">
        <is>
          <t>Acompanhar a abertura de inscrições em aprendizdofuturo.org.br.
Ter CadÚnico (exigido na contratação).
Vagas reservadas para PcD.</t>
        </is>
      </c>
      <c r="G17" s="3" t="inlineStr">
        <is>
          <t>Documentos do jovem e do responsável
Declaração escolar</t>
        </is>
      </c>
      <c r="H17" s="6" t="inlineStr"/>
      <c r="I17" s="6" t="inlineStr">
        <is>
          <t>aprendiz</t>
        </is>
      </c>
      <c r="J17" s="6" t="inlineStr">
        <is>
          <t>Ver aba Fontes e docs/levantamento-2026-10-08.md</t>
        </is>
      </c>
      <c r="K17" s="8" t="n"/>
      <c r="L17" s="4" t="n"/>
    </row>
    <row r="18">
      <c r="A18" s="6" t="inlineStr">
        <is>
          <t>ciptea</t>
        </is>
      </c>
      <c r="B18" s="3" t="inlineStr">
        <is>
          <t>CIPTEA, Carteira de Identificação da Pessoa com Autismo</t>
        </is>
      </c>
      <c r="C18" s="6" t="inlineStr">
        <is>
          <t>CIPTEA</t>
        </is>
      </c>
      <c r="D18" s="6" t="inlineStr">
        <is>
          <t>Estadual</t>
        </is>
      </c>
      <c r="E18" s="3" t="inlineStr">
        <is>
          <t>Documento, válido 5 anos</t>
        </is>
      </c>
      <c r="F18" s="3" t="inlineStr">
        <is>
          <t>Preencher o requerimento (site da Seds).
Levar à Unidade Maria Xavier Caiado, seg a sex, 8h às 18h. No interior, pedir pelo e-mail pcd@goias.gov.br.
Retirar em até 60 dias.</t>
        </is>
      </c>
      <c r="G18" s="3" t="inlineStr">
        <is>
          <t>Relatório de neurologista, psiquiatra ou pediatra
Certidão de nascimento ou RG com CPF
Documentos do responsável
Comprovante de endereço em Goiás
Foto (ou tirar na hora)</t>
        </is>
      </c>
      <c r="H18" s="6" t="inlineStr"/>
      <c r="I18" s="6" t="inlineStr">
        <is>
          <t>pcd</t>
        </is>
      </c>
      <c r="J18" s="6" t="inlineStr">
        <is>
          <t>Ver aba Fontes e docs/levantamento-2026-10-08.md</t>
        </is>
      </c>
      <c r="K18" s="8" t="n"/>
      <c r="L18" s="4" t="n"/>
    </row>
    <row r="19">
      <c r="A19" s="6" t="inlineStr">
        <is>
          <t>plpcd</t>
        </is>
      </c>
      <c r="B19" s="3" t="inlineStr">
        <is>
          <t>Passe Livre intermunicipal da pessoa com deficiência</t>
        </is>
      </c>
      <c r="C19" s="6" t="inlineStr">
        <is>
          <t>Passe Livre PcD</t>
        </is>
      </c>
      <c r="D19" s="6" t="inlineStr">
        <is>
          <t>Estadual</t>
        </is>
      </c>
      <c r="E19" s="3" t="inlineStr">
        <is>
          <t>Ônibus entre cidades de Goiás</t>
        </is>
      </c>
      <c r="F19" s="3" t="inlineStr">
        <is>
          <t>Levar documentos à Unidade Maria Xavier Caiado (Goiânia) ou pedir pelo WhatsApp (62) 98104-3652.
Retirar em até 60 dias. Validade de 3 anos.</t>
        </is>
      </c>
      <c r="G19" s="3" t="inlineStr">
        <is>
          <t>Laudo de especialista (validade 1 ano)
Espelho do CadÚnico
Comprovante de residência em Goiás
Documentos do acompanhante, se o laudo indicar</t>
        </is>
      </c>
      <c r="H19" s="6" t="inlineStr"/>
      <c r="I19" s="6" t="inlineStr">
        <is>
          <t>pcd</t>
        </is>
      </c>
      <c r="J19" s="6" t="inlineStr">
        <is>
          <t>Ver aba Fontes e docs/levantamento-2026-10-08.md</t>
        </is>
      </c>
      <c r="K19" s="8" t="n"/>
      <c r="L19" s="4" t="n"/>
    </row>
    <row r="20">
      <c r="A20" s="6" t="inlineStr">
        <is>
          <t>passaporte</t>
        </is>
      </c>
      <c r="B20" s="3" t="inlineStr">
        <is>
          <t>Passaporte da Pessoa Idosa</t>
        </is>
      </c>
      <c r="C20" s="6" t="inlineStr">
        <is>
          <t>Passaporte da Pessoa Idosa</t>
        </is>
      </c>
      <c r="D20" s="6" t="inlineStr">
        <is>
          <t>Estadual</t>
        </is>
      </c>
      <c r="E20" s="3" t="inlineStr">
        <is>
          <t>Até 4 viagens/mês entre cidades de Goiás</t>
        </is>
      </c>
      <c r="F20" s="3" t="inlineStr">
        <is>
          <t>Goiânia: Unidade Maria Xavier Caiado. Outros municípios: CRAS ou Secretaria de Assistência Social.
Comprar o bilhete com até 5h de antecedência (até 500 km).</t>
        </is>
      </c>
      <c r="G20" s="3" t="inlineStr">
        <is>
          <t>RG e CPF
Comprovante do CadÚnico</t>
        </is>
      </c>
      <c r="H20" s="6" t="inlineStr">
        <is>
          <t>cras</t>
        </is>
      </c>
      <c r="I20" s="6" t="inlineStr">
        <is>
          <t>passaporte</t>
        </is>
      </c>
      <c r="J20" s="6" t="inlineStr">
        <is>
          <t>Ver aba Fontes e docs/levantamento-2026-10-08.md</t>
        </is>
      </c>
      <c r="K20" s="8" t="n"/>
      <c r="L20" s="4" t="n"/>
    </row>
    <row r="21">
      <c r="A21" s="6" t="inlineStr">
        <is>
          <t>credito</t>
        </is>
      </c>
      <c r="B21" s="3" t="inlineStr">
        <is>
          <t>Crédito Social</t>
        </is>
      </c>
      <c r="C21" s="6" t="inlineStr"/>
      <c r="D21" s="6" t="inlineStr">
        <is>
          <t>Estadual</t>
        </is>
      </c>
      <c r="E21" s="3" t="inlineStr">
        <is>
          <t>Até R$ 5 mil, parcela única</t>
        </is>
      </c>
      <c r="F21" s="3" t="inlineStr">
        <is>
          <t>Ter CadÚnico de baixa renda.
Fazer o curso de capacitação indicado (Seds/Sebrae, Retomada ou Seapa).
Receber cartão para compra de equipamentos no comércio local.</t>
        </is>
      </c>
      <c r="G21" s="3" t="inlineStr">
        <is>
          <t>CadÚnico
Documento com foto</t>
        </is>
      </c>
      <c r="H21" s="6" t="inlineStr">
        <is>
          <t>cras</t>
        </is>
      </c>
      <c r="I21" s="6" t="inlineStr"/>
      <c r="J21" s="6" t="inlineStr">
        <is>
          <t>Ver aba Fontes e docs/levantamento-2026-10-08.md</t>
        </is>
      </c>
      <c r="K21" s="8" t="n"/>
      <c r="L21" s="4" t="n"/>
    </row>
    <row r="22">
      <c r="A22" s="6" t="inlineStr">
        <is>
          <t>registro</t>
        </is>
      </c>
      <c r="B22" s="3" t="inlineStr">
        <is>
          <t>2ª via gratuita de certidão (Registro Civil)</t>
        </is>
      </c>
      <c r="C22" s="6" t="inlineStr">
        <is>
          <t>2ª via de certidão</t>
        </is>
      </c>
      <c r="D22" s="6" t="inlineStr">
        <is>
          <t>Estadual</t>
        </is>
      </c>
      <c r="E22" s="3" t="inlineStr">
        <is>
          <t>Gratuito</t>
        </is>
      </c>
      <c r="F22" s="3" t="inlineStr">
        <is>
          <t>Ir à Seds (Bloco B, sala 2) ou a um evento do Goiás Social.
Sem nenhum dado do registro, a Seds encaminha à Defensoria.</t>
        </is>
      </c>
      <c r="G22" s="3" t="inlineStr">
        <is>
          <t>Cópia de qualquer documento, se tiver
Comprovante de endereço
Telefone</t>
        </is>
      </c>
      <c r="H22" s="6" t="inlineStr"/>
      <c r="I22" s="6" t="inlineStr">
        <is>
          <t>registro, dpe</t>
        </is>
      </c>
      <c r="J22" s="6" t="inlineStr">
        <is>
          <t>Ver aba Fontes e docs/levantamento-2026-10-08.md</t>
        </is>
      </c>
      <c r="K22" s="8" t="n"/>
      <c r="L22" s="4" t="n"/>
    </row>
    <row r="23">
      <c r="A23" s="6" t="inlineStr">
        <is>
          <t>enem</t>
        </is>
      </c>
      <c r="B23" s="3" t="inlineStr">
        <is>
          <t>Enem e isenção da taxa</t>
        </is>
      </c>
      <c r="C23" s="6" t="inlineStr">
        <is>
          <t>Enem</t>
        </is>
      </c>
      <c r="D23" s="6" t="inlineStr">
        <is>
          <t>Nacional</t>
        </is>
      </c>
      <c r="E23" s="3" t="inlineStr">
        <is>
          <t>Porta de entrada para Prouni, Fies e Sisu</t>
        </is>
      </c>
      <c r="F23" s="3" t="inlineStr">
        <is>
          <t>Pedir a isenção da taxa na Página do Participante, com a conta gov.br, no prazo do Inep (em abril).
Fazer a inscrição no Enem no período do edital, mesmo quem já tem a isenção.
Fazer as duas provas. Para Prouni e Fies, a média precisa ser de pelo menos 450 pontos, sem zerar a redação.
Quem tinha isenção e faltou precisa justificar a falta para ter isenção no ano seguinte.</t>
        </is>
      </c>
      <c r="G23" s="3" t="inlineStr">
        <is>
          <t>CPF
Conta gov.br
NIS, se estiver no CadÚnico</t>
        </is>
      </c>
      <c r="H23" s="6" t="inlineStr"/>
      <c r="I23" s="6" t="inlineStr">
        <is>
          <t>inep</t>
        </is>
      </c>
      <c r="J23" s="6" t="inlineStr">
        <is>
          <t>Ver aba Fontes e docs/levantamento-2026-10-08.md</t>
        </is>
      </c>
      <c r="K23" s="8" t="n"/>
      <c r="L23" s="4" t="n"/>
    </row>
    <row r="24">
      <c r="A24" s="6" t="inlineStr">
        <is>
          <t>prouni</t>
        </is>
      </c>
      <c r="B24" s="3" t="inlineStr">
        <is>
          <t>Prouni, bolsa em faculdade particular</t>
        </is>
      </c>
      <c r="C24" s="6" t="inlineStr">
        <is>
          <t>Prouni</t>
        </is>
      </c>
      <c r="D24" s="6" t="inlineStr">
        <is>
          <t>Nacional</t>
        </is>
      </c>
      <c r="E24" s="3" t="inlineStr">
        <is>
          <t>Bolsa de 100% ou 50%</t>
        </is>
      </c>
      <c r="F24" s="3" t="inlineStr">
        <is>
          <t>Fazer o Enem e conseguir média de pelo menos 450 pontos, sem zerar a redação.
Inscrever-se no Prouni com a conta gov.br, nas datas do edital (duas vezes por ano), escolhendo até duas opções de curso.
Acompanhar as chamadas e a lista de espera.
Pré-selecionado: levar os documentos à faculdade no prazo, para comprovar renda e escola.
Manter frequência e aprovação para não perder a bolsa.</t>
        </is>
      </c>
      <c r="G24" s="3" t="inlineStr">
        <is>
          <t>Documento com foto e CPF
Comprovantes de renda de todos da casa
Histórico do ensino médio
Comprovante de endereço</t>
        </is>
      </c>
      <c r="H24" s="6" t="inlineStr"/>
      <c r="I24" s="6" t="inlineStr">
        <is>
          <t>mec</t>
        </is>
      </c>
      <c r="J24" s="6" t="inlineStr">
        <is>
          <t>Ver aba Fontes e docs/levantamento-2026-10-08.md</t>
        </is>
      </c>
      <c r="K24" s="8" t="n"/>
      <c r="L24" s="4" t="n"/>
    </row>
    <row r="25">
      <c r="A25" s="6" t="inlineStr">
        <is>
          <t>fies</t>
        </is>
      </c>
      <c r="B25" s="3" t="inlineStr">
        <is>
          <t>Fies e Fies Social, financiamento da faculdade</t>
        </is>
      </c>
      <c r="C25" s="6" t="inlineStr">
        <is>
          <t>Fies</t>
        </is>
      </c>
      <c r="D25" s="6" t="inlineStr">
        <is>
          <t>Nacional</t>
        </is>
      </c>
      <c r="E25" s="3" t="inlineStr">
        <is>
          <t>Financia até 100% no Fies Social</t>
        </is>
      </c>
      <c r="F25" s="3" t="inlineStr">
        <is>
          <t>Fazer o Enem (de 2010 em diante) com média de pelo menos 450 pontos, sem zerar a redação. Prova feita como treineiro não vale.
Inscrever-se no Fies com a conta gov.br, nas datas do edital (duas vezes por ano).
Fies Social: a vaga é identificada pelo CPF na base do CadÚnico. Atualize o cadastro antes da inscrição.
Pré-selecionado: validar a inscrição na comissão da faculdade (CPSA) e assinar o contrato no banco.
As parcelas do financiamento são pagas depois de formado.</t>
        </is>
      </c>
      <c r="G25" s="3" t="inlineStr">
        <is>
          <t>Documento com foto e CPF
Comprovantes de renda de todos da casa
Conta gov.br</t>
        </is>
      </c>
      <c r="H25" s="6" t="inlineStr"/>
      <c r="I25" s="6" t="inlineStr">
        <is>
          <t>mec</t>
        </is>
      </c>
      <c r="J25" s="6" t="inlineStr">
        <is>
          <t>Ver aba Fontes e docs/levantamento-2026-10-08.md</t>
        </is>
      </c>
      <c r="K25" s="8" t="n"/>
      <c r="L25" s="4" t="n"/>
    </row>
    <row r="26">
      <c r="A26" s="6" t="inlineStr">
        <is>
          <t>cotas</t>
        </is>
      </c>
      <c r="B26" s="3" t="inlineStr">
        <is>
          <t>Universidade pública: Sisu e cotas</t>
        </is>
      </c>
      <c r="C26" s="6" t="inlineStr">
        <is>
          <t>Sisu e cotas</t>
        </is>
      </c>
      <c r="D26" s="6" t="inlineStr">
        <is>
          <t>Nacional</t>
        </is>
      </c>
      <c r="E26" s="3" t="inlineStr">
        <is>
          <t>Gratuito</t>
        </is>
      </c>
      <c r="F26" s="3" t="inlineStr">
        <is>
          <t>Fazer o Enem.
Inscrever-se no Sisu com a conta gov.br, no início do ano, escolhendo a modalidade de cota.
UEG: acompanhar o edital do processo seletivo próprio.
Aprovado por cota: levar na matrícula os comprovantes de escola pública e de renda.
Já na universidade, procurar a assistência estudantil.</t>
        </is>
      </c>
      <c r="G26" s="3" t="inlineStr">
        <is>
          <t>Histórico escolar do ensino médio
Comprovantes de renda de todos da casa (cota de renda)
Documento com foto e CPF</t>
        </is>
      </c>
      <c r="H26" s="6" t="inlineStr"/>
      <c r="I26" s="6" t="inlineStr">
        <is>
          <t>mec</t>
        </is>
      </c>
      <c r="J26" s="6" t="inlineStr">
        <is>
          <t>Ver aba Fontes e docs/levantamento-2026-10-08.md</t>
        </is>
      </c>
      <c r="K26" s="8" t="n"/>
      <c r="L26" s="4" t="n"/>
    </row>
    <row r="27">
      <c r="A27" s="6" t="inlineStr">
        <is>
          <t>probem</t>
        </is>
      </c>
      <c r="B27" s="3" t="inlineStr">
        <is>
          <t>ProBem, bolsa universitária do Estado (OVG)</t>
        </is>
      </c>
      <c r="C27" s="6" t="inlineStr">
        <is>
          <t>ProBem</t>
        </is>
      </c>
      <c r="D27" s="6" t="inlineStr">
        <is>
          <t>Estadual</t>
        </is>
      </c>
      <c r="E27" s="3" t="inlineStr">
        <is>
          <t>Bolsa integral ou parcial</t>
        </is>
      </c>
      <c r="F27" s="3" t="inlineStr">
        <is>
          <t>Ter o CadÚnico feito ou atualizado em Goiás antes da data de corte do edital.
Acompanhar a abertura das inscrições no site da OVG (uma vez por semestre).
Inscrever-se pelo site da OVG, matriculada ou aprovada em curso presencial de faculdade parceira (confira o edital).
Acompanhar o resultado e manter frequência e aprovação.</t>
        </is>
      </c>
      <c r="G27" s="3" t="inlineStr">
        <is>
          <t>Documento com foto e CPF
Comprovante de matrícula
NIS</t>
        </is>
      </c>
      <c r="H27" s="6" t="inlineStr"/>
      <c r="I27" s="6" t="inlineStr">
        <is>
          <t>ovg</t>
        </is>
      </c>
      <c r="J27" s="6" t="inlineStr">
        <is>
          <t>Ver aba Fontes e docs/levantamento-2026-10-08.md</t>
        </is>
      </c>
      <c r="K27" s="8" t="n"/>
      <c r="L27" s="4" t="n"/>
    </row>
    <row r="28">
      <c r="A28" s="6" t="inlineStr">
        <is>
          <t>pnaes</t>
        </is>
      </c>
      <c r="B28" s="3" t="inlineStr">
        <is>
          <t>Assistência estudantil na faculdade</t>
        </is>
      </c>
      <c r="C28" s="6" t="inlineStr">
        <is>
          <t>Assistência estudantil</t>
        </is>
      </c>
      <c r="D28" s="6" t="inlineStr">
        <is>
          <t>Nacional</t>
        </is>
      </c>
      <c r="E28" s="3" t="inlineStr">
        <is>
          <t>Alimentação, moradia, transporte</t>
        </is>
      </c>
      <c r="F28" s="3" t="inlineStr">
        <is>
          <t>Procurar a pró-reitoria ou o setor de assistência estudantil da instituição.
Acompanhar os editais de auxílio: alimentação, moradia, transporte, creche.
Levar os comprovantes de renda da família.
Estudante indígena ou quilombola em universidade federal: perguntar pela Bolsa Permanência do MEC.</t>
        </is>
      </c>
      <c r="G28" s="3" t="inlineStr">
        <is>
          <t>Comprovantes de renda de todos da casa
Comprovante de matrícula
Documento com foto e CPF</t>
        </is>
      </c>
      <c r="H28" s="6" t="inlineStr"/>
      <c r="I28" s="6" t="inlineStr"/>
      <c r="J28" s="6" t="inlineStr">
        <is>
          <t>Ver aba Fontes e docs/levantamento-2026-10-08.md</t>
        </is>
      </c>
      <c r="K28" s="8" t="n"/>
      <c r="L28" s="4" t="n"/>
    </row>
    <row r="29">
      <c r="A29" s="6" t="inlineStr">
        <is>
          <t>eja</t>
        </is>
      </c>
      <c r="B29" s="3" t="inlineStr">
        <is>
          <t>Terminar os estudos: EJA e Encceja</t>
        </is>
      </c>
      <c r="C29" s="6" t="inlineStr">
        <is>
          <t>EJA e Encceja</t>
        </is>
      </c>
      <c r="D29" s="6" t="inlineStr">
        <is>
          <t>Nacional</t>
        </is>
      </c>
      <c r="E29" s="3" t="inlineStr">
        <is>
          <t>Gratuito</t>
        </is>
      </c>
      <c r="F29" s="3" t="inlineStr">
        <is>
          <t>Encceja: inscrição no site do Inep com a conta gov.br, no período do edital. A prova é gratuita.
Aprovado em todas as áreas: pedir o certificado à Secretaria de Educação indicada na inscrição.
Prefere estudar em sala: matrícula na EJA da escola estadual ou municipal mais próxima.
Com o certificado do ensino médio, já pode fazer o Enem e tentar Prouni, Fies e Sisu.</t>
        </is>
      </c>
      <c r="G29" s="3" t="inlineStr">
        <is>
          <t>Documento com foto e CPF
Histórico escolar, se tiver
Comprovante de endereço (para a EJA)</t>
        </is>
      </c>
      <c r="H29" s="6" t="inlineStr"/>
      <c r="I29" s="6" t="inlineStr">
        <is>
          <t>inep</t>
        </is>
      </c>
      <c r="J29" s="6" t="inlineStr">
        <is>
          <t>Ver aba Fontes e docs/levantamento-2026-10-08.md</t>
        </is>
      </c>
      <c r="K29" s="8" t="n"/>
      <c r="L29" s="4" t="n"/>
    </row>
    <row r="30">
      <c r="A30" s="6" t="inlineStr">
        <is>
          <t>ceaf</t>
        </is>
      </c>
      <c r="B30" s="3" t="inlineStr">
        <is>
          <t>Medicamento de alto custo (Componente Especializado, Cemac Juarez Barbosa)</t>
        </is>
      </c>
      <c r="C30" s="6" t="inlineStr">
        <is>
          <t>Alto custo</t>
        </is>
      </c>
      <c r="D30" s="6" t="inlineStr">
        <is>
          <t>Estadual</t>
        </is>
      </c>
      <c r="E30" s="3" t="inlineStr">
        <is>
          <t>Gratuito pelo SUS</t>
        </is>
      </c>
      <c r="F30" s="3" t="inlineStr">
        <is>
          <t>Confirmar se o medicamento é fornecido para a doença (CID): consultar a "Relação de medicamentos, doenças e agravos" no site da Cemac.
Na consulta, pedir ao médico (SUS ou particular) a LME (Laudo de Solicitação, Avaliação e Autorização de Medicamentos) preenchida, a receita e os exames exigidos pelo protocolo da doença.
Baixar no site da Cemac a lista de documentos e exames da doença e conferir se está tudo junto.
Criar ou acessar a conta gov.br do paciente.
Abrir o pedido online no go.gov.br: serviço "Solicitar abertura de processo ou alteração e/ou inclusão de medicamentos de alto custo".
Acompanhar em "Minhas solicitações". A análise leva até 5 dias úteis. Se faltar documento, o pedido volta com a pendência para corrigir.
Aprovado: retirar presencialmente. Quem mora em Goiânia retira na Cemac. No interior e na região metropolitana, o local (município ou policlínica) é informado no processo.
Renovar online antes de vencer o período autorizado, com nova LME e receita (análise em até 10 dias úteis). Mudou só a dose? Levar a nova receita e o protocolo direto ao guichê de dispensação.
Pedido negado ou remédio fora da lista: guardar a resposta por escrito e procurar a Defensoria Pública, que avalia pedido administrativo ou ação judicial.</t>
        </is>
      </c>
      <c r="G30" s="3" t="inlineStr">
        <is>
          <t>LME preenchida e assinada pelo médico
Receita médica
Exames e laudos exigidos pelo protocolo da doença
Documento com foto e CPF do paciente
Cartão Nacional de Saúde (CNS)
Comprovante de endereço
Conta gov.br do paciente</t>
        </is>
      </c>
      <c r="H30" s="6" t="inlineStr"/>
      <c r="I30" s="6" t="inlineStr">
        <is>
          <t>cemac, dpe, puc-npj, mpgo, 136</t>
        </is>
      </c>
      <c r="J30" s="6" t="inlineStr">
        <is>
          <t>Ver aba Fontes e docs/levantamento-2026-10-08.md</t>
        </is>
      </c>
      <c r="K30" s="8" t="n"/>
      <c r="L30" s="4" t="n"/>
    </row>
    <row r="31">
      <c r="A31" s="6" t="inlineStr">
        <is>
          <t>fpop</t>
        </is>
      </c>
      <c r="B31" s="3" t="inlineStr">
        <is>
          <t>Farmácia Popular</t>
        </is>
      </c>
      <c r="C31" s="6" t="inlineStr"/>
      <c r="D31" s="6" t="inlineStr">
        <is>
          <t>Nacional</t>
        </is>
      </c>
      <c r="E31" s="3" t="inlineStr">
        <is>
          <t>Gratuito, sem limite de renda</t>
        </is>
      </c>
      <c r="F31" s="3" t="inlineStr">
        <is>
          <t>Conferir se o tratamento está entre as indicações do programa (quadro abaixo).
Ter receita válida com nome do paciente, nome do medicamento, dose e posologia. Vale receita do SUS ou de médico particular.
Ir a uma farmácia com o selo "Aqui Tem Farmácia Popular" (ou consultar o painel de farmácias credenciadas no gov.br). Ligar antes para confirmar se tem o item.
Apresentar documento oficial com foto e CPF. O medicamento é entregue de graça.
Não pode ir? Um representante legal ou procurador retira com a receita, documentos com foto e CPF dos dois e a procuração ou decisão judicial.
Remédio em falta ou recusa indevida: registrar no Disque Saúde 136. Os mesmos medicamentos também saem na UBS do bairro.</t>
        </is>
      </c>
      <c r="G31" s="3" t="inlineStr">
        <is>
          <t>Documento oficial com foto e CPF
Receita médica dentro da validade
Fralda geriátrica: prescrição, laudo ou atestado (PcD: com o CID)
Absorvente: autorização do Dignidade Menstrual, válida por 180 dias</t>
        </is>
      </c>
      <c r="H31" s="6" t="inlineStr"/>
      <c r="I31" s="6" t="inlineStr">
        <is>
          <t>fp, 136</t>
        </is>
      </c>
      <c r="J31" s="6" t="inlineStr">
        <is>
          <t>Ver aba Fontes e docs/levantamento-2026-10-08.md</t>
        </is>
      </c>
      <c r="K31" s="8" t="n"/>
      <c r="L31" s="4" t="n"/>
    </row>
    <row r="32">
      <c r="A32" s="6" t="inlineStr">
        <is>
          <t>pep</t>
        </is>
      </c>
      <c r="B32" s="3" t="inlineStr">
        <is>
          <t>PEP, Profilaxia Pós-Exposição ao HIV</t>
        </is>
      </c>
      <c r="C32" s="6" t="inlineStr">
        <is>
          <t>PEP</t>
        </is>
      </c>
      <c r="D32" s="6" t="inlineStr">
        <is>
          <t>Rede de proteção</t>
        </is>
      </c>
      <c r="E32" s="3" t="inlineStr">
        <is>
          <t>Urgente: até 72h</t>
        </is>
      </c>
      <c r="F32" s="3" t="inlineStr">
        <is>
          <t>Ir imediatamente a uma UPA ou CAIS 24h, ou ao HDT. Não esperar o dia seguinte.
Fazer o teste rápido de HIV no próprio serviço.
Receber os antirretrovirais para 28 dias e tomar todos os dias, sem parar.
Retornar para os testes de acompanhamento no CTA Cidade Jardim ou na UBS.
Violência sexual: além da PEP, procurar o Hospital Estadual da Mulher (mulheres) e registrar ocorrência, se quiser.</t>
        </is>
      </c>
      <c r="G32" s="3" t="inlineStr">
        <is>
          <t>Documento, se tiver. A falta de documento não impede o atendimento.</t>
        </is>
      </c>
      <c r="H32" s="6" t="inlineStr">
        <is>
          <t>pep</t>
        </is>
      </c>
      <c r="I32" s="6" t="inlineStr"/>
      <c r="J32" s="6" t="inlineStr">
        <is>
          <t>Ver aba Fontes e docs/levantamento-2026-10-08.md</t>
        </is>
      </c>
      <c r="K32" s="8" t="n"/>
      <c r="L32" s="4" t="n"/>
    </row>
    <row r="33">
      <c r="A33" s="6" t="inlineStr">
        <is>
          <t>hivcare</t>
        </is>
      </c>
      <c r="B33" s="3" t="inlineStr">
        <is>
          <t>Cuidado contínuo para pessoa vivendo com HIV</t>
        </is>
      </c>
      <c r="C33" s="6" t="inlineStr">
        <is>
          <t>Cuidado em HIV</t>
        </is>
      </c>
      <c r="D33" s="6" t="inlineStr">
        <is>
          <t>Rede de proteção</t>
        </is>
      </c>
      <c r="E33" s="3" t="inlineStr">
        <is>
          <t>SUS gratuito e sigiloso</t>
        </is>
      </c>
      <c r="F33" s="3" t="inlineStr">
        <is>
          <t>Fazer o teste rápido na UBS ou no CTA Cidade Jardim. Resultado reagente: o próprio serviço faz a confirmação e o aconselhamento.
Vincular-se ao SAE (Serviço de Atendimento Especializado) do CTA Cidade Jardim ou ao HDT para consulta com infectologista.
Fazer os exames iniciais (carga viral, CD4 e outros) e começar o tratamento o quanto antes. O tratamento não espera o resultado do CD4.
Retirar os antirretrovirais todo mês na unidade dispensadora (o CTA Cidade Jardim faz a entrega contínua). Levar o cartão do SUS.
Repetir carga viral e consultas conforme a agenda do SAE. A meta é carga viral indetectável.
Gestante vivendo com HIV: pré-natal com acompanhamento do SAE e do programa Prevenir para a Vida do HDT, para evitar a transmissão ao bebê.
Apoio emocional: UBS, CAPS ou CVV 188. Discriminação no trabalho, escola ou serviço: Defensoria Pública ou Disque 100.</t>
        </is>
      </c>
      <c r="G33" s="3" t="inlineStr">
        <is>
          <t>Cartão do SUS
Documento com foto (não é exigido para o teste)</t>
        </is>
      </c>
      <c r="H33" s="6" t="inlineStr">
        <is>
          <t>hiv</t>
        </is>
      </c>
      <c r="I33" s="6" t="inlineStr">
        <is>
          <t>ceapsol, 100, mpt</t>
        </is>
      </c>
      <c r="J33" s="6" t="inlineStr">
        <is>
          <t>Ver aba Fontes e docs/levantamento-2026-10-08.md</t>
        </is>
      </c>
      <c r="K33" s="8" t="n"/>
      <c r="L33" s="4" t="n"/>
    </row>
    <row r="34">
      <c r="A34" s="6" t="inlineStr">
        <is>
          <t>prep</t>
        </is>
      </c>
      <c r="B34" s="3" t="inlineStr">
        <is>
          <t>PrEP, Profilaxia Pré-Exposição ao HIV</t>
        </is>
      </c>
      <c r="C34" s="6" t="inlineStr">
        <is>
          <t>PrEP</t>
        </is>
      </c>
      <c r="D34" s="6" t="inlineStr">
        <is>
          <t>Rede de proteção</t>
        </is>
      </c>
      <c r="E34" s="3" t="inlineStr">
        <is>
          <t>Comprimido gratuito</t>
        </is>
      </c>
      <c r="F34" s="3" t="inlineStr">
        <is>
          <t>Procurar o CTA Cidade Jardim ou o HDT.
Fazer teste de HIV e outros exames de triagem.
Iniciar o uso diário (ou sob demanda, se indicado pelo profissional).
Voltar a cada consulta para testar e retirar novos frascos.</t>
        </is>
      </c>
      <c r="G34" s="3" t="inlineStr">
        <is>
          <t>Documento com foto
Cartão do SUS</t>
        </is>
      </c>
      <c r="H34" s="6" t="inlineStr">
        <is>
          <t>hiv</t>
        </is>
      </c>
      <c r="I34" s="6" t="inlineStr"/>
      <c r="J34" s="6" t="inlineStr">
        <is>
          <t>Ver aba Fontes e docs/levantamento-2026-10-08.md</t>
        </is>
      </c>
      <c r="K34" s="8" t="n"/>
      <c r="L34" s="4" t="n"/>
    </row>
    <row r="35">
      <c r="A35" s="6" t="inlineStr">
        <is>
          <t>mp</t>
        </is>
      </c>
      <c r="B35" s="3" t="inlineStr">
        <is>
          <t>Ministério Público: quando e como acionar</t>
        </is>
      </c>
      <c r="C35" s="6" t="inlineStr">
        <is>
          <t>Ministério Público</t>
        </is>
      </c>
      <c r="D35" s="6" t="inlineStr">
        <is>
          <t>Rede de proteção</t>
        </is>
      </c>
      <c r="E35" s="3" t="inlineStr">
        <is>
          <t>Gratuito, sem advogado</t>
        </is>
      </c>
      <c r="F35" s="3" t="inlineStr">
        <is>
          <t>Primeiro, pedir o serviço por escrito e guardar o comprovante: protocolo, número de atendimento, resposta negativa, receita, laudo ou print.
Reclamar na ouvidoria do órgão (SUS 136, ouvidoria da Seds, da prefeitura). Muitas vezes resolve sem processo.
Caso individual que precisa de ação na Justiça (um remédio para uma pessoa, guarda, pensão, vaga): Defensoria Pública ou escritório-modelo.
Caso que atinge muitas pessoas, ou pessoa vulnerável sem proteção (criança, idoso, PcD, população de rua, falta geral de remédio, fila de cirurgia, escola sem vaga): fazer representação ao Ministério Público certo (quadro abaixo).
Registrar a representação no atendimento ao cidadão do site do MP ou presencialmente na promotoria da comarca. Pode pedir sigilo da identidade.
Anotar o número da representação e acompanhar. O promotor pode requisitar informações, fazer recomendação, acordo (TAC) ou ação civil pública.
Vítima ou testemunha ameaçada: pedir ao promotor do caso a inclusão no Provita.</t>
        </is>
      </c>
      <c r="G35" s="3" t="inlineStr">
        <is>
          <t>Relato curto: o que aconteceu, quando, onde, quem foi afetado
Comprovantes: protocolos, negativas, laudos, receitas, fotos
Contato para retorno (pode pedir sigilo)</t>
        </is>
      </c>
      <c r="H35" s="6" t="inlineStr"/>
      <c r="I35" s="6" t="inlineStr">
        <is>
          <t>mpgo, mpgo-dh, mpf, mpt, dpe</t>
        </is>
      </c>
      <c r="J35" s="6" t="inlineStr">
        <is>
          <t>Ver aba Fontes e docs/levantamento-2026-10-08.md</t>
        </is>
      </c>
      <c r="K35" s="8" t="n"/>
      <c r="L35" s="4" t="n"/>
    </row>
    <row r="36">
      <c r="A36" s="6" t="inlineStr">
        <is>
          <t>r-mulher</t>
        </is>
      </c>
      <c r="B36" s="3" t="inlineStr">
        <is>
          <t>Rede de proteção à mulher</t>
        </is>
      </c>
      <c r="C36" s="6" t="inlineStr">
        <is>
          <t>Proteção à mulher</t>
        </is>
      </c>
      <c r="D36" s="6" t="inlineStr">
        <is>
          <t>Rede de proteção</t>
        </is>
      </c>
      <c r="E36" s="3" t="inlineStr">
        <is>
          <t>Atendimento 24h</t>
        </is>
      </c>
      <c r="F36" s="3" t="inlineStr">
        <is>
          <t>Perigo agora: 190 (PM) ou 153 (GCM Goiânia).
Registrar ocorrência e pedir medida protetiva na DEAEM (24h).
Acompanhamento social, psicológico e jurídico no Centro de Referência Cora Coralina.
Risco de morte: Casa Abrigo Sempre Viva, acessada pela rede.
Violência sexual: Hospital Estadual da Mulher em até 72h.</t>
        </is>
      </c>
      <c r="G36" s="3" t="inlineStr">
        <is>
          <t>Documento com foto, se possível. Não é obrigatório para ser atendida.</t>
        </is>
      </c>
      <c r="H36" s="6" t="inlineStr">
        <is>
          <t>mulher</t>
        </is>
      </c>
      <c r="I36" s="6" t="inlineStr">
        <is>
          <t>mpgo-gen, cevam, puc-npj</t>
        </is>
      </c>
      <c r="J36" s="6" t="inlineStr">
        <is>
          <t>Ver aba Fontes e docs/levantamento-2026-10-08.md</t>
        </is>
      </c>
      <c r="K36" s="8" t="n"/>
      <c r="L36" s="4" t="n"/>
    </row>
    <row r="37">
      <c r="A37" s="6" t="inlineStr">
        <is>
          <t>r-crianca</t>
        </is>
      </c>
      <c r="B37" s="3" t="inlineStr">
        <is>
          <t>Proteção à criança e ao adolescente</t>
        </is>
      </c>
      <c r="C37" s="6" t="inlineStr">
        <is>
          <t>Proteção à criança</t>
        </is>
      </c>
      <c r="D37" s="6" t="inlineStr">
        <is>
          <t>Rede de proteção</t>
        </is>
      </c>
      <c r="E37" s="3" t="inlineStr">
        <is>
          <t>Conselho Tutelar</t>
        </is>
      </c>
      <c r="F37" s="3" t="inlineStr">
        <is>
          <t>Acionar o Conselho Tutelar da região (plantão à noite e no fim de semana).
Denúncia anônima: Disque 100.
Acompanhamento da família no CREAS.
Lesão ou violência sexual: UPA, hospital ou SAMU 192.</t>
        </is>
      </c>
      <c r="G37" s="3" t="inlineStr">
        <is>
          <t>Não é preciso documento para denunciar</t>
        </is>
      </c>
      <c r="H37" s="6" t="inlineStr">
        <is>
          <t>ct</t>
        </is>
      </c>
      <c r="I37" s="6" t="inlineStr">
        <is>
          <t>dpca, mpgo</t>
        </is>
      </c>
      <c r="J37" s="6" t="inlineStr">
        <is>
          <t>Ver aba Fontes e docs/levantamento-2026-10-08.md</t>
        </is>
      </c>
      <c r="K37" s="8" t="n"/>
      <c r="L37" s="4" t="n"/>
    </row>
    <row r="38">
      <c r="A38" s="6" t="inlineStr">
        <is>
          <t>r-idoso</t>
        </is>
      </c>
      <c r="B38" s="3" t="inlineStr">
        <is>
          <t>Proteção a idosos e pessoas com deficiência</t>
        </is>
      </c>
      <c r="C38" s="6" t="inlineStr">
        <is>
          <t>Proteção ao idoso e PcD</t>
        </is>
      </c>
      <c r="D38" s="6" t="inlineStr">
        <is>
          <t>Rede de proteção</t>
        </is>
      </c>
      <c r="E38" s="3" t="inlineStr">
        <is>
          <t>CREAS</t>
        </is>
      </c>
      <c r="F38" s="3" t="inlineStr">
        <is>
          <t>Denunciar pelo Disque 100 ou pelo 197 (Polícia Civil).
Crime contra a pessoa idosa: Delegacia do Idoso (Goiânia).
Acompanhamento no CREAS da região.
Casos graves: Ministério Público e Defensoria.</t>
        </is>
      </c>
      <c r="G38" s="3" t="inlineStr"/>
      <c r="H38" s="6" t="inlineStr">
        <is>
          <t>creas</t>
        </is>
      </c>
      <c r="I38" s="6" t="inlineStr">
        <is>
          <t>100, deai, mpgo</t>
        </is>
      </c>
      <c r="J38" s="6" t="inlineStr">
        <is>
          <t>Ver aba Fontes e docs/levantamento-2026-10-08.md</t>
        </is>
      </c>
      <c r="K38" s="8" t="n"/>
      <c r="L38" s="4" t="n"/>
    </row>
    <row r="39">
      <c r="A39" s="6" t="inlineStr">
        <is>
          <t>r-rua</t>
        </is>
      </c>
      <c r="B39" s="3" t="inlineStr">
        <is>
          <t>Atendimento à população em situação de rua</t>
        </is>
      </c>
      <c r="C39" s="6" t="inlineStr">
        <is>
          <t>População de rua</t>
        </is>
      </c>
      <c r="D39" s="6" t="inlineStr">
        <is>
          <t>Rede de proteção</t>
        </is>
      </c>
      <c r="E39" s="3" t="inlineStr">
        <is>
          <t>Centro POP</t>
        </is>
      </c>
      <c r="F39" s="3" t="inlineStr">
        <is>
          <t>Ir ao Centro POP (7h às 17h).
Fazer o CadÚnico usando o endereço do Centro POP.
Pedir vaga em acolhimento pela equipe do Centro POP.
Sem documento: 2ª via de certidão e Defensoria.</t>
        </is>
      </c>
      <c r="G39" s="3" t="inlineStr">
        <is>
          <t>Nenhum documento é exigido para o primeiro atendimento</t>
        </is>
      </c>
      <c r="H39" s="6" t="inlineStr">
        <is>
          <t>pop</t>
        </is>
      </c>
      <c r="I39" s="6" t="inlineStr">
        <is>
          <t>mpgo-dh</t>
        </is>
      </c>
      <c r="J39" s="6" t="inlineStr">
        <is>
          <t>Ver aba Fontes e docs/levantamento-2026-10-08.md</t>
        </is>
      </c>
      <c r="K39" s="8" t="n"/>
      <c r="L39" s="4" t="n"/>
    </row>
    <row r="40">
      <c r="A40" s="6" t="inlineStr">
        <is>
          <t>crise</t>
        </is>
      </c>
      <c r="B40" s="3" t="inlineStr">
        <is>
          <t>Manejo da crise suicida</t>
        </is>
      </c>
      <c r="C40" s="6" t="inlineStr">
        <is>
          <t>Crise suicida</t>
        </is>
      </c>
      <c r="D40" s="6" t="inlineStr">
        <is>
          <t>Rede de proteção</t>
        </is>
      </c>
      <c r="E40" s="3" t="inlineStr">
        <is>
          <t>Agir no mesmo dia</t>
        </is>
      </c>
      <c r="F40" s="3" t="inlineStr">
        <is>
          <t>Não deixe a pessoa sozinha. Fique com ela, ou com alguém de confiança, até o próximo cuidado começar.
Pergunte diretamente: "Você está pensando em se matar?". Perguntar não induz; abre espaço para a pessoa falar.
Avalie o risco: há plano (como, quando, onde)? Tem acesso ao meio? Já tentou antes? Está sob efeito de álcool ou drogas agora?
Risco alto (plano com meio disponível, tentativa recente, intoxicação, agitação): SAMU 192 ou pronto atendimento agora. A pessoa não vai sozinha.
Tomou remédio ou veneno: pronto atendimento mesmo sem sintomas, levando a embalagem. Orientação 24h no CIATox Goiás, 0800 646 4350.
Para conversar a qualquer hora: CVV 188, ligação gratuita e sigilosa. Ofereça ligar junto ou salvar o número no celular dela.
Reduza o acesso aos meios: com a família, guarde remédios, venenos, armas e cordas fora do alcance.
Acione a rede de apoio: um familiar ou pessoa de confiança, de preferência com o conhecimento da pessoa. O risco à vida permite quebrar o sigilo, contando só o necessário. Registre a decisão.
Faça com ela um plano de segurança (quadro abaixo). O plano fica com a pessoa, não no app.
Garanta o seguimento: CAPS (acesso direto) ou UBS nos próximos dias, com data marcada antes de a pessoa sair. Retome o contato se ela faltar.
Tentativa ou autolesão: o serviço de saúde faz a notificação compulsória (ficha de violência autoprovocada, SINAN) em até 24h. A notificação não é denúncia; serve para a rede acompanhar.
Cuide de você: discuta o caso com a equipe ou com a supervisão.</t>
        </is>
      </c>
      <c r="G40" s="3" t="inlineStr">
        <is>
          <t>Nenhum documento é exigido no atendimento de urgência</t>
        </is>
      </c>
      <c r="H40" s="6" t="inlineStr">
        <is>
          <t>saude</t>
        </is>
      </c>
      <c r="I40" s="6" t="inlineStr">
        <is>
          <t>188, ciatox</t>
        </is>
      </c>
      <c r="J40" s="6" t="inlineStr">
        <is>
          <t>Ver aba Fontes e docs/levantamento-2026-10-08.md</t>
        </is>
      </c>
      <c r="K40" s="8" t="n"/>
      <c r="L40" s="4" t="n"/>
    </row>
    <row r="41">
      <c r="A41" s="6" t="inlineStr">
        <is>
          <t>ad</t>
        </is>
      </c>
      <c r="B41" s="3" t="inlineStr">
        <is>
          <t>Álcool e outras drogas: cuidado pelo SUS</t>
        </is>
      </c>
      <c r="C41" s="6" t="inlineStr">
        <is>
          <t>Álcool e drogas</t>
        </is>
      </c>
      <c r="D41" s="6" t="inlineStr">
        <is>
          <t>Rede de proteção</t>
        </is>
      </c>
      <c r="E41" s="3" t="inlineStr">
        <is>
          <t>Gratuito, sem encaminhamento</t>
        </is>
      </c>
      <c r="F41" s="3" t="inlineStr">
        <is>
          <t>Primeiro passo: CAPS AD (álcool e drogas) ou UBS. Não precisa de encaminhamento nem de estar sem usar.
No CAPS AD a equipe monta um plano de cuidado: consultas, grupos, atendimento à família e, se preciso, remédios.
Crise de abstinência grave (convulsão, confusão, delírio, tremor forte) ou intoxicação: SAMU 192 ou UPA.
Casos graves: internação breve em leito de hospital geral ou no Credeq (Aparecida de Goiânia, até 90 dias, voluntária), pedida pelo CAPS AD pela regulação.
Precisa de moradia temporária durante o tratamento: o CAPS AD avalia a vaga em Unidade de Acolhimento.
Em situação de rua: Centro POP e Consultório na Rua.
Comunidade terapêutica: só com entrada voluntária. Prefira as acompanhadas pelo CAPS e pela assistência social.
Internação involuntária: só com pedido da família ou do responsável e decisão de um médico, em unidade de saúde, comunicada ao Ministério Público em até 72h (Lei 13.840/2019). Não é o primeiro caminho.
Grupos gratuitos de ajuda mútua: Alcoólicos Anônimos e Narcóticos Anônimos; para a família, Al-Anon e Nar-Anon.</t>
        </is>
      </c>
      <c r="G41" s="3" t="inlineStr">
        <is>
          <t>Cartão do SUS e documento, se tiver (a falta não impede o atendimento)</t>
        </is>
      </c>
      <c r="H41" s="6" t="inlineStr"/>
      <c r="I41" s="6" t="inlineStr">
        <is>
          <t>credeq, samu, 188</t>
        </is>
      </c>
      <c r="J41" s="6" t="inlineStr">
        <is>
          <t>Ver aba Fontes e docs/levantamento-2026-10-08.md</t>
        </is>
      </c>
      <c r="K41" s="8" t="n"/>
      <c r="L41" s="4" t="n"/>
    </row>
    <row r="42">
      <c r="A42" s="6" t="inlineStr">
        <is>
          <t>apostas</t>
        </is>
      </c>
      <c r="B42" s="3" t="inlineStr">
        <is>
          <t>Apostas e bets fora de controle</t>
        </is>
      </c>
      <c r="C42" s="6" t="inlineStr">
        <is>
          <t>Apostas</t>
        </is>
      </c>
      <c r="D42" s="6" t="inlineStr">
        <is>
          <t>Rede de proteção</t>
        </is>
      </c>
      <c r="E42" s="3" t="inlineStr">
        <is>
          <t>Bloqueio no gov.br + cuidado no SUS</t>
        </is>
      </c>
      <c r="F42" s="3" t="inlineStr">
        <is>
          <t>Bloquear todas as bets de uma vez: Plataforma Centralizada de Autoexclusão (gov.br/autoexclusaoapostas), com conta gov.br prata ou ouro. Vale de 1 a 12 meses ou por tempo indeterminado e corta a publicidade.
O bloqueio não pode ser desfeito antes do prazo escolhido (no indeterminado, dá para cancelar em até 30 dias). Ele só alcança as bets autorizadas: sites ilegais continuam abertos.
Cuidado em saúde: UBS ou CAPS (em geral o CAPS AD), sem encaminhamento. O Ministério da Saúde também oferece teleatendimento para problemas com apostas pelo app Meu SUS Digital.
Pergunte sobre pensamentos de suicídio: dívida e vergonha aumentam o risco. Havendo, siga o manejo da crise e o CVV 188.
Proteger o dinheiro: por um tempo, deixar cartão e senhas com alguém de confiança, tirar limites e Pix automático, não pegar empréstimo para cobrir aposta.
Dívidas: Procon Goiás (Núcleo de Apoio aos Superendividados) ou Defensoria, para renegociar.
Bolsa Família e BPC: desde 2025 as bets autorizadas devem barrar beneficiários (Portaria SPA/MF 2.217/2025). A regra está em discussão no STF; se a pessoa ainda consegue apostar, use a autoexclusão.
Menor de 18 anos não pode apostar. Se está apostando, usa conta de adulto ou site ilegal: converse com a família; se um adulto facilita, Conselho Tutelar.
Família: o CAPS orienta os familiares. Há grupos gratuitos de Jogadores Anônimos.</t>
        </is>
      </c>
      <c r="G42" s="3" t="inlineStr">
        <is>
          <t>Conta gov.br prata ou ouro (para a autoexclusão)
Cartão do SUS</t>
        </is>
      </c>
      <c r="H42" s="6" t="inlineStr"/>
      <c r="I42" s="6" t="inlineStr">
        <is>
          <t>autoexclusao, 188, procon, dpe</t>
        </is>
      </c>
      <c r="J42" s="6" t="inlineStr">
        <is>
          <t>Ver aba Fontes e docs/levantamento-2026-10-08.md</t>
        </is>
      </c>
      <c r="K42" s="8" t="n"/>
      <c r="L42" s="4" t="n"/>
    </row>
    <row r="43">
      <c r="A43" s="6" t="inlineStr">
        <is>
          <t>games</t>
        </is>
      </c>
      <c r="B43" s="3" t="inlineStr">
        <is>
          <t>Uso excessivo de jogos eletrônicos e internet</t>
        </is>
      </c>
      <c r="C43" s="6" t="inlineStr">
        <is>
          <t>Jogos eletrônicos</t>
        </is>
      </c>
      <c r="D43" s="6" t="inlineStr">
        <is>
          <t>Rede de proteção</t>
        </is>
      </c>
      <c r="E43" s="3" t="inlineStr">
        <is>
          <t>UBS e CAPS</t>
        </is>
      </c>
      <c r="F43" s="3" t="inlineStr">
        <is>
          <t>Primeiro acolhimento na UBS: avaliar sono, humor, ansiedade, isolamento e rendimento na escola ou no trabalho.
Prejuízo grave, agressividade ao ser interrompido ou outro sofrimento junto: CAPS, sem encaminhamento (CAPSij até 18 anos).
Criança e adolescente: combinar com a família horários e lugar do aparelho, usar o controle parental e manter o celular fora do quarto à noite.
Abandono da escola: conversar com a escola; se persistir, Conselho Tutelar.
Jogo com dinheiro (caixas de recompensa, apostas em itens, cassino): tratar também como aposta. O ECA Digital (Lei 15.211/2025) proíbe caixas de recompensa em jogos para crianças e adolescentes.
Psicoterapia gratuita: clínicas-escola de psicologia (PUC Goiás e UFG).</t>
        </is>
      </c>
      <c r="G43" s="3" t="inlineStr">
        <is>
          <t>Cartão do SUS</t>
        </is>
      </c>
      <c r="H43" s="6" t="inlineStr"/>
      <c r="I43" s="6" t="inlineStr">
        <is>
          <t>capsi, puc-cepsi, ufg-psi, anhanguera-psi</t>
        </is>
      </c>
      <c r="J43" s="6" t="inlineStr">
        <is>
          <t>Ver aba Fontes e docs/levantamento-2026-10-08.md</t>
        </is>
      </c>
      <c r="K43" s="8" t="n"/>
      <c r="L43" s="4" t="n"/>
    </row>
    <row r="44">
      <c r="A44" s="6" t="inlineStr">
        <is>
          <t>discrim</t>
        </is>
      </c>
      <c r="B44" s="3" t="inlineStr">
        <is>
          <t>Discriminação: racismo, xenofobia, intolerância religiosa, LGBTfobia</t>
        </is>
      </c>
      <c r="C44" s="6" t="inlineStr">
        <is>
          <t>Discriminação</t>
        </is>
      </c>
      <c r="D44" s="6" t="inlineStr">
        <is>
          <t>Rede de proteção</t>
        </is>
      </c>
      <c r="E44" s="3" t="inlineStr">
        <is>
          <t>É crime: denuncie</t>
        </is>
      </c>
      <c r="F44" s="3" t="inlineStr">
        <is>
          <t>Acolher e acreditar no relato. Perguntar se há risco agora (ameaça, ataque ao terreiro, à casa ou à pessoa): se houver, 190.
Guardar provas: prints com data, áudios, vídeos, nomes e contatos de testemunhas, local e horário.
Registrar ocorrência: Deacri (Goiânia), especializada em crimes raciais e de intolerância, ou em qualquer delegacia. Também pelo 197 (Polícia Civil). Não precisa de advogado.
Denúncia, anônima se quiser, pelo Disque 100 (24h, também por WhatsApp).
Apoio psicológico, social e jurídico gratuito: Crei, Centro de Referência Estadual da Igualdade (Seds), presencial ou on-line.
Reparação e direitos: Defensoria Pública (há o projeto Terreiro de Direitos para comunidades de matriz africana). Casos coletivos, contra escolas, empresas ou órgãos públicos: Ministério Público.
No trabalho: Ministério Público do Trabalho. Na escola: direção e, se a vítima for criança ou adolescente, Conselho Tutelar. Em serviço público: ouvidoria do órgão.
Pessoa migrante: além da delegacia, a Pastoral dos Migrantes acompanha; a Defensoria Pública da União orienta sobre documentos.
Sofrimento depois da violência: UBS, CAPS ou clínicas-escola de psicologia.</t>
        </is>
      </c>
      <c r="G44" s="3" t="inlineStr">
        <is>
          <t>Documento com foto, se tiver (migrante: qualquer documento ou protocolo)
Provas: prints, áudios, vídeos, testemunhas</t>
        </is>
      </c>
      <c r="H44" s="6" t="inlineStr"/>
      <c r="I44" s="6" t="inlineStr">
        <is>
          <t>deacri, crei, 100, pc197, dpe, mpgo-dh, mpt</t>
        </is>
      </c>
      <c r="J44" s="6" t="inlineStr">
        <is>
          <t>Ver aba Fontes e docs/levantamento-2026-10-08.md</t>
        </is>
      </c>
      <c r="K44" s="8" t="n"/>
      <c r="L44" s="4" t="n"/>
    </row>
    <row r="45">
      <c r="A45" s="6" t="inlineStr">
        <is>
          <t>r-mental</t>
        </is>
      </c>
      <c r="B45" s="3" t="inlineStr">
        <is>
          <t>Cuidado em saúde mental</t>
        </is>
      </c>
      <c r="C45" s="6" t="inlineStr">
        <is>
          <t>Saúde mental</t>
        </is>
      </c>
      <c r="D45" s="6" t="inlineStr">
        <is>
          <t>Rede de proteção</t>
        </is>
      </c>
      <c r="E45" s="3" t="inlineStr">
        <is>
          <t>UBS e CAPS</t>
        </is>
      </c>
      <c r="F45" s="3" t="inlineStr">
        <is>
          <t>Risco imediato ou tentativa de suicídio: SAMU 192.
Apoio emocional 24h: CVV 188.
Primeiro atendimento: UBS do bairro ou CAPS (acesso direto).
Crise sem risco de vida: UPA ou CAIS.</t>
        </is>
      </c>
      <c r="G45" s="3" t="inlineStr">
        <is>
          <t>Cartão do SUS e documento, se tiver</t>
        </is>
      </c>
      <c r="H45" s="6" t="inlineStr">
        <is>
          <t>saude</t>
        </is>
      </c>
      <c r="I45" s="6" t="inlineStr">
        <is>
          <t>capsi, puc-cepsi, ufg-psi, anhanguera-psi</t>
        </is>
      </c>
      <c r="J45" s="6" t="inlineStr">
        <is>
          <t>Ver aba Fontes e docs/levantamento-2026-10-08.md</t>
        </is>
      </c>
      <c r="K45" s="8" t="n"/>
      <c r="L45" s="4" t="n"/>
    </row>
    <row r="46">
      <c r="A46" s="6" t="inlineStr">
        <is>
          <t>r-gest</t>
        </is>
      </c>
      <c r="B46" s="3" t="inlineStr">
        <is>
          <t>Pré-natal e parto</t>
        </is>
      </c>
      <c r="C46" s="6" t="inlineStr">
        <is>
          <t>Pré-natal</t>
        </is>
      </c>
      <c r="D46" s="6" t="inlineStr">
        <is>
          <t>Rede de proteção</t>
        </is>
      </c>
      <c r="E46" s="3" t="inlineStr">
        <is>
          <t>SUS</t>
        </is>
      </c>
      <c r="F46" s="3" t="inlineStr">
        <is>
          <t>Iniciar o pré-natal na UBS do bairro, de preferência até a 12ª semana.
Informar a gestação no CRAS para o adicional do Bolsa Família.
Urgência na gravidez ou parto com risco: SAMU 192 ou HMI.</t>
        </is>
      </c>
      <c r="G46" s="3" t="inlineStr">
        <is>
          <t>Cartão do SUS
Documento com foto</t>
        </is>
      </c>
      <c r="H46" s="6" t="inlineStr">
        <is>
          <t>saude</t>
        </is>
      </c>
      <c r="I46" s="6" t="inlineStr">
        <is>
          <t>hmi</t>
        </is>
      </c>
      <c r="J46" s="6" t="inlineStr">
        <is>
          <t>Ver aba Fontes e docs/levantamento-2026-10-08.md</t>
        </is>
      </c>
      <c r="K46" s="8" t="n"/>
      <c r="L46" s="4" t="n"/>
    </row>
    <row r="47">
      <c r="A47" s="6" t="inlineStr">
        <is>
          <t>r-fome</t>
        </is>
      </c>
      <c r="B47" s="3" t="inlineStr">
        <is>
          <t>Segurança alimentar</t>
        </is>
      </c>
      <c r="C47" s="6" t="inlineStr">
        <is>
          <t>Segurança alimentar</t>
        </is>
      </c>
      <c r="D47" s="6" t="inlineStr">
        <is>
          <t>Rede de proteção</t>
        </is>
      </c>
      <c r="E47" s="3" t="inlineStr">
        <is>
          <t>CRAS</t>
        </is>
      </c>
      <c r="F47" s="3" t="inlineStr">
        <is>
          <t>Procurar o CRAS para benefício eventual (cesta básica) e avaliação da família.
Fazer ou atualizar o CadÚnico para Bolsa Família, Mães de Goiás e Gás do Povo.
Refeição a R$ 2 no Restaurante do Bem (OVG).
Igreja ou ONG que serve refeições pode se cadastrar no Banco de Alimentos da OVG.</t>
        </is>
      </c>
      <c r="G47" s="3" t="inlineStr">
        <is>
          <t>Documento com foto e CPF</t>
        </is>
      </c>
      <c r="H47" s="6" t="inlineStr">
        <is>
          <t>cras</t>
        </is>
      </c>
      <c r="I47" s="6" t="inlineStr">
        <is>
          <t>restbem, bancoalimentos</t>
        </is>
      </c>
      <c r="J47" s="6" t="inlineStr">
        <is>
          <t>Ver aba Fontes e docs/levantamento-2026-10-08.md</t>
        </is>
      </c>
      <c r="K47" s="8" t="n"/>
      <c r="L47" s="4" t="n"/>
    </row>
  </sheetData>
  <dataValidations count="1">
    <dataValidation sqref="D2:D96" showDropDown="0" showInputMessage="0" showErrorMessage="0" allowBlank="0" type="list">
      <formula1>"Nacional,Estadual,Municipal,Rede de proteção"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60" customWidth="1" min="3" max="3"/>
    <col width="18" customWidth="1" min="4" max="4"/>
    <col width="80" customWidth="1" min="5" max="5"/>
    <col width="34" customWidth="1" min="6" max="6"/>
    <col width="50" customWidth="1" min="7" max="7"/>
  </cols>
  <sheetData>
    <row r="1" ht="32" customHeight="1">
      <c r="A1" s="5" t="inlineStr">
        <is>
          <t>Chave (não altere)</t>
        </is>
      </c>
      <c r="B1" s="5" t="inlineStr">
        <is>
          <t>Título</t>
        </is>
      </c>
      <c r="C1" s="5" t="inlineStr">
        <is>
          <t>Palavras-chave (sem acento, separadas por vírgula)</t>
        </is>
      </c>
      <c r="D1" s="5" t="inlineStr">
        <is>
          <t>Liga a situação do app</t>
        </is>
      </c>
      <c r="E1" s="5" t="inlineStr">
        <is>
          <t>Passo a passo (um por linha)</t>
        </is>
      </c>
      <c r="F1" s="5" t="inlineStr">
        <is>
          <t>Contatos (IDs da aba Serviços)</t>
        </is>
      </c>
      <c r="G1" s="5" t="inlineStr">
        <is>
          <t>Frase de urgência</t>
        </is>
      </c>
    </row>
    <row r="2">
      <c r="A2" s="6" t="inlineStr">
        <is>
          <t>avc</t>
        </is>
      </c>
      <c r="B2" s="3" t="inlineStr">
        <is>
          <t>AVC (derrame)</t>
        </is>
      </c>
      <c r="C2" s="3" t="inlineStr">
        <is>
          <t>avc, derrame, boca torta, fala enrolada, nao consegue falar, braco fraco, perdeu a forca, paralisia</t>
        </is>
      </c>
      <c r="D2" s="6" t="inlineStr"/>
      <c r="E2" s="3" t="inlineStr">
        <is>
          <t>Acontecendo agora: ligar 192 (SAMU). O tratamento do AVC depende do tempo, cada minuto conta.
Sinais de alerta: boca torta ao sorrir, braço fraco ao levantar os dois, fala enrolada ou confusa.
Anotar a hora em que os sintomas começaram e os remédios que a pessoa usa. Não dar comida, bebida nem remédio; se vomitar, deitar a pessoa de lado.
AVC que já passou: pedir na UBS o encaminhamento para reabilitação (fisioterapia, fonoaudiologia) e acompanhar pressão, diabetes e remédios na UBS.
Novo sinal de AVC a qualquer momento: 192 de novo.</t>
        </is>
      </c>
      <c r="F2" s="6" t="inlineStr">
        <is>
          <t>samu, hugo</t>
        </is>
      </c>
      <c r="G2" s="3" t="inlineStr">
        <is>
          <t>Se os sinais de AVC estão acontecendo agora (boca torta, braço fraco, fala enrolada): ligue 192 (SAMU) e anote a hora em que começaram.</t>
        </is>
      </c>
    </row>
    <row r="3">
      <c r="A3" s="6" t="inlineStr">
        <is>
          <t>emergencia</t>
        </is>
      </c>
      <c r="B3" s="3" t="inlineStr">
        <is>
          <t>Emergência médica</t>
        </is>
      </c>
      <c r="C3" s="3" t="inlineStr">
        <is>
          <t>infarto, dor no peito, falta de ar, desmai, convuls, sangramento, acidente, inconsciente, overdose, engasg, queimadura grave</t>
        </is>
      </c>
      <c r="D3" s="6" t="inlineStr"/>
      <c r="E3" s="3" t="inlineStr">
        <is>
          <t>Risco de vida: ligar 192 (SAMU). O médico regulador orienta pelo telefone e envia a ambulância.
Sem risco de vida, mas precisa de atendimento hoje: UPA ou CAIS 24h.
Intoxicação ou picada de animal: CIATox 0800 646 4350, 24h.</t>
        </is>
      </c>
      <c r="F3" s="6" t="inlineStr">
        <is>
          <t>samu, ciatox</t>
        </is>
      </c>
      <c r="G3" s="3" t="inlineStr">
        <is>
          <t>Se há risco de vida agora: ligue 192 (SAMU).</t>
        </is>
      </c>
    </row>
    <row r="4">
      <c r="A4" s="6" t="inlineStr">
        <is>
          <t>reabilitacao</t>
        </is>
      </c>
      <c r="B4" s="3" t="inlineStr">
        <is>
          <t>Reabilitação: fisioterapia, fono, órteses e próteses</t>
        </is>
      </c>
      <c r="C4" s="3" t="inlineStr">
        <is>
          <t>reabilita, fisioterap, fisio, pos cirurg, pos-cirurg, sequela, protese, ortese, cadeira de rodas, andador, fonoaudio, terapia ocupacional, amputa, lesao medular</t>
        </is>
      </c>
      <c r="D4" s="6" t="inlineStr"/>
      <c r="E4" s="3" t="inlineStr">
        <is>
          <t>Pedir na UBS, ou ao médico que fez a cirurgia, o encaminhamento para reabilitação, com relatório e exames.
A UBS coloca o pedido na regulação. A vaga (fisioterapia, fonoaudiologia, CRER ou clínica-escola) é marcada pela Secretaria de Saúde.
Em Goiânia, o CRER é a referência estadual em reabilitação. A primeira consulta vem pela regulação, não por procura direta.
Cadeira de rodas, órtese e prótese também são pedidas pela UBS, com prescrição.
Pessoa que não consegue sair de casa: perguntar na UBS ou no hospital pelo Melhor em Casa (atendimento no domicílio).
Demora longa: guardar o protocolo e procurar a Ouvidoria do SUS (136) ou a Defensoria.</t>
        </is>
      </c>
      <c r="F4" s="6" t="inlineStr">
        <is>
          <t>crer, puc-vida, reggyn, 136</t>
        </is>
      </c>
      <c r="G4" s="3" t="inlineStr"/>
    </row>
    <row r="5">
      <c r="A5" s="6" t="inlineStr">
        <is>
          <t>acamado</t>
        </is>
      </c>
      <c r="B5" s="3" t="inlineStr">
        <is>
          <t>Pessoa acamada ou que depende de cuidados</t>
        </is>
      </c>
      <c r="C5" s="3" t="inlineStr">
        <is>
          <t>acamad, cuidador, home care, melhor em casa, curativo em casa, sonda, oxigenio, nao anda, dependente de cuidado</t>
        </is>
      </c>
      <c r="D5" s="6" t="inlineStr"/>
      <c r="E5" s="3" t="inlineStr">
        <is>
          <t>Pedir à UBS a visita da equipe de saúde da família.
Atendimento em casa pelo SUS (Melhor em Casa): pedido pela UBS ou pelo hospital, na alta.
Fralda geriátrica de graça na Farmácia Popular (60 anos ou mais, ou pessoa com deficiência), com receita.
Renda baixa: BPC, se a família tiver até 1/4 do salário mínimo por pessoa. O CRAS orienta.
Cuidador sobrecarregado: o CRAS orienta sobre apoio à família.</t>
        </is>
      </c>
      <c r="F5" s="6" t="inlineStr">
        <is>
          <t>fp, 121</t>
        </is>
      </c>
      <c r="G5" s="3" t="inlineStr"/>
    </row>
    <row r="6">
      <c r="A6" s="6" t="inlineStr">
        <is>
          <t>fila</t>
        </is>
      </c>
      <c r="B6" s="3" t="inlineStr">
        <is>
          <t>Consulta, exame ou cirurgia demorando</t>
        </is>
      </c>
      <c r="C6" s="3" t="inlineStr">
        <is>
          <t>fila, demora, esperando, aguardando, especialista, ressonancia, tomografia, regulacao, marcar consulta</t>
        </is>
      </c>
      <c r="D6" s="6" t="inlineStr"/>
      <c r="E6" s="3" t="inlineStr">
        <is>
          <t>Confirmar na UBS se o pedido está na regulação e anotar o número do protocolo.
Demora sem resposta: Ouvidoria do SUS, 136.
Risco à saúde pela demora: Defensoria Pública ou Ministério Público, com laudo e protocolo.</t>
        </is>
      </c>
      <c r="F6" s="6" t="inlineStr">
        <is>
          <t>reggyn, 136, dpe, mpgo</t>
        </is>
      </c>
      <c r="G6" s="3" t="inlineStr"/>
    </row>
    <row r="7">
      <c r="A7" s="6" t="inlineStr">
        <is>
          <t>familia</t>
        </is>
      </c>
      <c r="B7" s="3" t="inlineStr">
        <is>
          <t>Pensão alimentícia, guarda, divórcio, paternidade</t>
        </is>
      </c>
      <c r="C7" s="3" t="inlineStr">
        <is>
          <t>pensao aliment, pensao do filho, pensao para, guarda, divorcio, separacao, paternidade, dna, visita dos filhos, uniao estavel, inventario, heranca, curatela, interdicao</t>
        </is>
      </c>
      <c r="D7" s="6" t="inlineStr"/>
      <c r="E7" s="3" t="inlineStr">
        <is>
          <t>Defensoria Pública: atende de graça quem não pode pagar advogado.
Acordo sem processo: Cejusc do TJGO (conciliação gratuita sobre pensão, guarda, visitas e divórcio).
Levar documentos pessoais, certidões (nascimento dos filhos, casamento) e comprovantes de renda e despesas.
Alternativa: escritório-modelo de faculdade de Direito (NPJ PUC Goiás).
Se houver violência: medida protetiva na DEAEM ou na Defensoria.</t>
        </is>
      </c>
      <c r="F7" s="6" t="inlineStr">
        <is>
          <t>dpe, cejusc, puc-npj</t>
        </is>
      </c>
      <c r="G7" s="3" t="inlineStr"/>
    </row>
    <row r="8">
      <c r="A8" s="6" t="inlineStr">
        <is>
          <t>inss</t>
        </is>
      </c>
      <c r="B8" s="3" t="inlineStr">
        <is>
          <t>INSS: aposentadoria, auxílio-doença, pensão por morte</t>
        </is>
      </c>
      <c r="C8" s="3" t="inlineStr">
        <is>
          <t>inss, aposentad, auxilio doenca, auxilio-doenca, incapacidade, pericia, pensao por morte, auxilio reclusao, salario maternidade</t>
        </is>
      </c>
      <c r="D8" s="6" t="inlineStr"/>
      <c r="E8" s="3" t="inlineStr">
        <is>
          <t>Pedir pelo Meu INSS (app ou site, com a conta gov.br) ou pelo telefone 135.
Auxílio por incapacidade: levar laudo e exames à perícia.
Negado: recorrer pelo Meu INSS em até 30 dias, ou procurar a Defensoria Pública da União ou o NPJ.
BPC (LOAS): veja o assunto Renda e benefícios.</t>
        </is>
      </c>
      <c r="F8" s="6" t="inlineStr">
        <is>
          <t>135, puc-npj</t>
        </is>
      </c>
      <c r="G8" s="3" t="inlineStr"/>
    </row>
    <row r="9">
      <c r="A9" s="6" t="inlineStr">
        <is>
          <t>emprego</t>
        </is>
      </c>
      <c r="B9" s="3" t="inlineStr">
        <is>
          <t>Desemprego e seguro-desemprego</t>
        </is>
      </c>
      <c r="C9" s="3" t="inlineStr">
        <is>
          <t>desempreg, seguro desemprego, seguro-desemprego, emprego, curriculo, demitid, fgts</t>
        </is>
      </c>
      <c r="D9" s="6" t="inlineStr"/>
      <c r="E9" s="3" t="inlineStr">
        <is>
          <t>Seguro-desemprego: pedir pelo app Carteira de Trabalho Digital ou pelo gov.br, do 7º ao 120º dia depois da demissão.
Vagas e orientação: Sine Goiânia, com agendamento pelo app Prefeitura 24h.
Quer abrir um negócio: veja o assunto Trabalho (Crédito Social).
Família sem renda: CRAS, para CadÚnico e benefícios.</t>
        </is>
      </c>
      <c r="F9" s="6" t="inlineStr">
        <is>
          <t>sine</t>
        </is>
      </c>
      <c r="G9" s="3" t="inlineStr"/>
    </row>
    <row r="10">
      <c r="A10" s="6" t="inlineStr">
        <is>
          <t>dividas</t>
        </is>
      </c>
      <c r="B10" s="3" t="inlineStr">
        <is>
          <t>Dívidas, golpes e problemas de consumo</t>
        </is>
      </c>
      <c r="C10" s="3" t="inlineStr">
        <is>
          <t>divida, nome sujo, negativad, serasa, juros, emprestimo, consignado, golpe, fraude, cobranca, cartao de credito, superendivid</t>
        </is>
      </c>
      <c r="D10" s="6" t="inlineStr"/>
      <c r="E10" s="3" t="inlineStr">
        <is>
          <t>Procon Goiás: reclamação e renegociação de dívidas (Núcleo de Apoio aos Superendividados).
Negociação online: consumidor.gov.br.
Golpe ou fraude: registrar boletim de ocorrência e avisar o banco na hora.
Desconto indevido na aposentadoria: Meu INSS e Defensoria.</t>
        </is>
      </c>
      <c r="F10" s="6" t="inlineStr">
        <is>
          <t>procon, dpe</t>
        </is>
      </c>
      <c r="G10" s="3" t="inlineStr"/>
    </row>
    <row r="11">
      <c r="A11" s="6" t="inlineStr">
        <is>
          <t>desastre</t>
        </is>
      </c>
      <c r="B11" s="3" t="inlineStr">
        <is>
          <t>Enchente, incêndio ou desabamento</t>
        </is>
      </c>
      <c r="C11" s="3" t="inlineStr">
        <is>
          <t>enchente, alagamento, incendio, desabamento, desabrigad, deslizamento, perdeu a casa</t>
        </is>
      </c>
      <c r="D11" s="6" t="inlineStr"/>
      <c r="E11" s="3" t="inlineStr">
        <is>
          <t>Risco agora: Bombeiros 193 ou Defesa Civil 199.
Perdeu bens ou a casa: CRAS, para benefício eventual e acolhimento provisório.
Documentos perdidos: 2ª via gratuita de certidão (assunto Documentos).</t>
        </is>
      </c>
      <c r="F11" s="6" t="inlineStr">
        <is>
          <t>121</t>
        </is>
      </c>
      <c r="G11" s="3" t="inlineStr">
        <is>
          <t>Risco agora: 193 (Bombeiros) ou 199 (Defesa Civil).</t>
        </is>
      </c>
    </row>
    <row r="12">
      <c r="A12" s="6" t="inlineStr">
        <is>
          <t>funeral</t>
        </is>
      </c>
      <c r="B12" s="3" t="inlineStr">
        <is>
          <t>Morte na família: funeral e luto</t>
        </is>
      </c>
      <c r="C12" s="3" t="inlineStr">
        <is>
          <t>funeral, enterro, sepultamento, obito, faleceu, falecimento, luto, morreu</t>
        </is>
      </c>
      <c r="D12" s="6" t="inlineStr"/>
      <c r="E12" s="3" t="inlineStr">
        <is>
          <t>Família de baixa renda: pedir o auxílio funeral (benefício eventual) no CRAS ou na Secretaria de Assistência Social.
Certidão de óbito: no cartório, com a declaração de óbito do hospital ou do IML.
Pensão por morte: Meu INSS ou 135.
Luto difícil: UBS, CAPS ou CVV 188. Se a morte foi por suicídio, ofereça acompanhamento à família.</t>
        </is>
      </c>
      <c r="F12" s="6" t="inlineStr">
        <is>
          <t>121, 188</t>
        </is>
      </c>
      <c r="G12" s="3" t="inlineStr"/>
    </row>
    <row r="13">
      <c r="A13" s="6" t="inlineStr">
        <is>
          <t>rg</t>
        </is>
      </c>
      <c r="B13" s="3" t="inlineStr">
        <is>
          <t>RG, CPF ou carteira de trabalho</t>
        </is>
      </c>
      <c r="C13" s="3" t="inlineStr">
        <is>
          <t>rg, identidade, cpf, carteira de trabalho, titulo de eleitor, documento perdido, documentos perdidos</t>
        </is>
      </c>
      <c r="D13" s="6" t="inlineStr"/>
      <c r="E13" s="3" t="inlineStr">
        <is>
          <t>Carteira de Identidade: agendar no Vapt Vupt (vaptvupt.go.gov.br), levando a certidão de nascimento ou casamento.
CPF: de graça pelo site da Receita Federal.
Carteira de Trabalho: é digital, pelo app Carteira de Trabalho Digital com a conta gov.br.
Sem certidão: 2ª via gratuita (assunto Documentos).</t>
        </is>
      </c>
      <c r="F13" s="6" t="inlineStr"/>
      <c r="G13" s="3" t="inlineStr"/>
    </row>
    <row r="14">
      <c r="A14" s="6" t="inlineStr">
        <is>
          <t>apostas</t>
        </is>
      </c>
      <c r="B14" s="3" t="inlineStr">
        <is>
          <t>Apostas e bets</t>
        </is>
      </c>
      <c r="C14" s="3" t="inlineStr">
        <is>
          <t>bet, bets, aposta, apostas, apostando, apostador, cassino, tigrinho, jogo do tigre, jogo do bicho, jogos de azar, roleta, aviator</t>
        </is>
      </c>
      <c r="D14" s="6" t="inlineStr">
        <is>
          <t>apostas</t>
        </is>
      </c>
      <c r="E14" s="3" t="inlineStr"/>
      <c r="F14" s="6" t="inlineStr"/>
      <c r="G14" s="3" t="inlineStr"/>
    </row>
    <row r="15">
      <c r="A15" s="6" t="inlineStr">
        <is>
          <t>games</t>
        </is>
      </c>
      <c r="B15" s="3" t="inlineStr">
        <is>
          <t>Jogos eletrônicos e internet</t>
        </is>
      </c>
      <c r="C15" s="3" t="inlineStr">
        <is>
          <t>videogame, video game, jogos eletronicos, jogo eletronico, games, free fire, roblox, minecraft, fortnite, viciado em jogo, vicio em jogo, viciado no celular, vicio em celular, vicio em internet</t>
        </is>
      </c>
      <c r="D15" s="6" t="inlineStr">
        <is>
          <t>games</t>
        </is>
      </c>
      <c r="E15" s="3" t="inlineStr"/>
      <c r="F15" s="6" t="inlineStr"/>
      <c r="G15" s="3" t="inlineStr"/>
    </row>
    <row r="16">
      <c r="A16" s="6" t="inlineStr">
        <is>
          <t>drogas</t>
        </is>
      </c>
      <c r="B16" s="3" t="inlineStr">
        <is>
          <t>Álcool e outras drogas</t>
        </is>
      </c>
      <c r="C16" s="3" t="inlineStr">
        <is>
          <t>alcool, bebida, bebe muito, alcoolismo, alcoolatra, droga, drogas, crack, cocaina, maconha, dependencia quimica, dependente quimico, internar, internacao, clinica de recuperacao, comunidade terapeutica</t>
        </is>
      </c>
      <c r="D16" s="6" t="inlineStr">
        <is>
          <t>drogas</t>
        </is>
      </c>
      <c r="E16" s="3" t="inlineStr"/>
      <c r="F16" s="6" t="inlineStr"/>
      <c r="G16" s="3" t="inlineStr"/>
    </row>
    <row r="17">
      <c r="A17" s="6" t="inlineStr">
        <is>
          <t>violsexual</t>
        </is>
      </c>
      <c r="B17" s="3" t="inlineStr">
        <is>
          <t>Violência sexual</t>
        </is>
      </c>
      <c r="C17" s="3" t="inlineStr">
        <is>
          <t>estupro, estuprad, abuso sexual, abusada, abusado, violencia sexual, assedio sexual, importunacao</t>
        </is>
      </c>
      <c r="D17" s="6" t="inlineStr"/>
      <c r="E17" s="3" t="inlineStr">
        <is>
          <t>Nas primeiras 72h: atendimento de saúde imediato para profilaxia de HIV e IST e contracepção de emergência. Em Goiânia, o Hemu tem ambulatório próprio para vítimas de violência sexual (procura direta ou encaminhamento); também UPA ou CAIS 24h.
Registrar ocorrência é um direito, não uma condição para o atendimento de saúde. Mulher: DEAEM (24h). Criança ou adolescente: DPCA e Conselho Tutelar.
Gravidez resultante de estupro: a interrupção é prevista em lei. O Hemu é a referência estadual.
Acompanhamento psicológico e social: CREAS e, para mulheres, Centro de Referência Cora Coralina.
Criança ou adolescente: comunicar sempre ao Conselho Tutelar.</t>
        </is>
      </c>
      <c r="F17" s="6" t="inlineStr">
        <is>
          <t>hem, deaem, dpca, cora, 100</t>
        </is>
      </c>
      <c r="G17" s="3" t="inlineStr">
        <is>
          <t>Violência sexual nas últimas 72h: atendimento de saúde agora (profilaxia de HIV e IST e contracepção de emergência), mesmo sem registrar ocorrência.</t>
        </is>
      </c>
    </row>
    <row r="18">
      <c r="A18" s="6" t="inlineStr">
        <is>
          <t>violidoso</t>
        </is>
      </c>
      <c r="B18" s="3" t="inlineStr">
        <is>
          <t>Violência, abandono ou exploração de pessoa idosa ou com deficiência</t>
        </is>
      </c>
      <c r="C18" s="3" t="inlineStr">
        <is>
          <t>violencia contra idoso, violencia contra idosa, violencia contra o idoso, violencia contra a idosa, violencia contra pessoa idosa, violencia contra a pessoa idosa, violencia contra pessoa com deficiencia, violencia contra a pessoa com deficiencia, idoso apanha, idosa apanha, avo apanha, avo esta apanhando, avo ta apanhando, bate no idoso, bate na idosa, bate no avo, bate na avo, bateu no avo, bateu na avo, batendo no avo, batendo na avo, agride o idoso, agride a idosa, agrediu o idoso, agrediu a idosa, agressao ao idoso, agressao a idosa, maus tratos ao idoso, maus tratos a idosa, maus tratos contra idoso, maus tratos contra a pessoa idosa, maus tratos a pessoa com deficiencia, idoso sofrendo maus, idosa sofrendo maus, idoso sofrendo violencia, idosa sofrendo violencia, idoso maltratad, idosa maltratad, maltrata o idoso, maltrata a idosa, maltrata o avo, maltrata a avo, idoso abandonad, idosa abandonad, abandono de idoso, abandono do idoso, abandono da idosa, idoso largad, idosa largad, idoso negligenciad, idosa negligenciad, negligencia com idoso, negligencia com o idoso, negligencia com a idosa, idoso trancad, idosa trancad, pega o cartao do aposentad, pegam o cartao do aposentad, toma o cartao do aposentad, fica com o cartao do aposentad, pega a aposentadoria, pegam a aposentadoria, toma a aposentadoria, fica com a aposentadoria, fica com o dinheiro da aposentadoria, fica com o dinheiro do idoso, exploracao financeira, emprestimo no nome do idoso, emprestimo no nome da idosa, emprestimo no nome do avo, emprestimo no nome da avo</t>
        </is>
      </c>
      <c r="D18" s="6" t="inlineStr">
        <is>
          <t>violIdoso</t>
        </is>
      </c>
      <c r="E18" s="3" t="inlineStr"/>
      <c r="F18" s="6" t="inlineStr"/>
      <c r="G18" s="3" t="inlineStr"/>
    </row>
    <row r="19">
      <c r="A19" s="6" t="inlineStr">
        <is>
          <t>discriminacao</t>
        </is>
      </c>
      <c r="B19" s="3" t="inlineStr">
        <is>
          <t>Discriminação: racismo, xenofobia, intolerância religiosa, LGBTfobia</t>
        </is>
      </c>
      <c r="C19" s="3" t="inlineStr">
        <is>
          <t>racismo, racista, injuria racial, ofensa racial, preconceito, discrimina, xenofob, por ser nordestin, por ser estrangeir, por ser venezuelan, por ser haitian, volta pro seu pais, homofobia, homofob, transfobia, lgbtfobia, intolerancia religiosa, racismo religioso, atacaram o terreiro, ataque ao terreiro, invadiram o terreiro, por ser do candomble, por ser da umbanda, por causa da religiao, por causa da minha religiao, perseguido pela religiao, perseguida pela religiao, por ser evangelic, por ser catolic, por ser espirita, por ser muculman, por ser judeu, por ser judia, macumbeir, chutaram a imagem, capacitismo, capacitista, idadismo, etarismo, xingou de macaco</t>
        </is>
      </c>
      <c r="D19" s="6" t="inlineStr">
        <is>
          <t>discrim</t>
        </is>
      </c>
      <c r="E19" s="3" t="inlineStr"/>
      <c r="F19" s="6" t="inlineStr"/>
      <c r="G19" s="3" t="inlineStr"/>
    </row>
    <row r="20">
      <c r="A20" s="6" t="inlineStr">
        <is>
          <t>trans</t>
        </is>
      </c>
      <c r="B20" s="3" t="inlineStr">
        <is>
          <t>Pessoa trans: saúde e documentos</t>
        </is>
      </c>
      <c r="C20" s="3" t="inlineStr">
        <is>
          <t>pessoa trans, mulher trans, homem trans, menina trans, menino trans, transexual, travesti, transgenero, hormonizacao, nome social, mudar o nome, redesignacao</t>
        </is>
      </c>
      <c r="D20" s="6" t="inlineStr"/>
      <c r="E20" s="3" t="inlineStr">
        <is>
          <t>Saúde: pedir na UBS o encaminhamento para o Ambulatório TX do HGG (hormonização, psicologia, cirurgias). Maiores de 18 em Goiânia também podem procurar o Transviver.
Nome social: pode ser usado no SUS, na escola e no CadÚnico, sem mudar documento.
Mudar nome e gênero nos documentos: direto no cartório, sem processo e sem cirurgia, para maiores de 18 anos. Defensoria orienta quem não pode pagar as taxas.
Violência ou discriminação: Deacri e Disque 100.</t>
        </is>
      </c>
      <c r="F20" s="6" t="inlineStr">
        <is>
          <t>hgg-tx, transviver, deacri, dpe</t>
        </is>
      </c>
      <c r="G20" s="3" t="inlineStr"/>
    </row>
    <row r="21">
      <c r="A21" s="6" t="inlineStr">
        <is>
          <t>migrante</t>
        </is>
      </c>
      <c r="B21" s="3" t="inlineStr">
        <is>
          <t>Migrantes e refugiados</t>
        </is>
      </c>
      <c r="C21" s="3" t="inlineStr">
        <is>
          <t>migrante, imigrante, refugiad, venezuelan, haitian, estrangeir, refugio, sem documento brasileiro</t>
        </is>
      </c>
      <c r="D21" s="6" t="inlineStr"/>
      <c r="E21" s="3" t="inlineStr">
        <is>
          <t>O SUS atende sem exigir documento brasileiro. A criança tem direito à matrícula na escola.
CadÚnico e benefícios: pode se cadastrar com a Carteira de Registro Nacional Migratório (CRNM) ou o protocolo de refúgio, no CRAS.
Documentos, trabalho e orientação: Pastoral dos Migrantes de Goiânia.
Regularização migratória com problema: Defensoria Pública da União.
Sofreu xenofobia: é crime (Lei 7.716/1989). Registrar na Deacri ou em qualquer delegacia, ou pelo Disque 100.</t>
        </is>
      </c>
      <c r="F21" s="6" t="inlineStr">
        <is>
          <t>pastoral-migrantes, deacri, 100, 121</t>
        </is>
      </c>
      <c r="G21" s="3" t="inlineStr"/>
    </row>
    <row r="22">
      <c r="A22" s="6" t="inlineStr">
        <is>
          <t>egresso</t>
        </is>
      </c>
      <c r="B22" s="3" t="inlineStr">
        <is>
          <t>Saiu do sistema prisional (egresso) e família</t>
        </is>
      </c>
      <c r="C22" s="3" t="inlineStr">
        <is>
          <t>egresso, saiu da prisao, saiu da cadeia, ex-detento, ex detento, presidiario, tornozeleira, liberdade condicional, foi preso, esta preso, presidio</t>
        </is>
      </c>
      <c r="D22" s="6" t="inlineStr"/>
      <c r="E22" s="3" t="inlineStr">
        <is>
          <t>Escritório Social (Goiânia): documentos, trabalho, estudo e acesso a políticas sociais para egressos e famílias. Atendimento voluntário.
Família de pessoa presa: auxílio-reclusão no INSS, se a pessoa contribuía (Meu INSS ou 135).
CadÚnico e benefícios no CRAS; situação de rua: Centro POP.
Dúvidas sobre a pena ou o processo: Defensoria Pública.</t>
        </is>
      </c>
      <c r="F22" s="6" t="inlineStr">
        <is>
          <t>escritorio-social, dpe, 135</t>
        </is>
      </c>
      <c r="G22" s="3" t="inlineStr"/>
    </row>
    <row r="23">
      <c r="A23" s="6" t="inlineStr">
        <is>
          <t>cancer</t>
        </is>
      </c>
      <c r="B23" s="3" t="inlineStr">
        <is>
          <t>Câncer: diagnóstico e tratamento</t>
        </is>
      </c>
      <c r="C23" s="3" t="inlineStr">
        <is>
          <t>cancer, tumor, quimioterapia, radioterapia, oncolog, biopsia, nodulo, metastase</t>
        </is>
      </c>
      <c r="D23" s="6" t="inlineStr"/>
      <c r="E23" s="3" t="inlineStr">
        <is>
          <t>Pela lei, exames para confirmar câncer devem sair em até 30 dias (Lei 13.896/2019) e o tratamento no SUS deve começar em até 60 dias do diagnóstico (Lei 12.732/2012).
O encaminhamento sai da UBS ou do médico, pela regulação. Em Goiânia, a referência é o Hospital Araújo Jorge; também o HC-UFG.
Demora: guardar laudos e protocolos e procurar a Ouvidoria do SUS (136), a Defensoria ou o Ministério Público.
Direitos: saque do FGTS e do PIS, auxílio por incapacidade no INSS, isenção de IR sobre aposentadoria; BPC se a renda for baixa.
Transporte e hospedagem para quem vem do interior: pedir o Tratamento Fora de Domicílio (TFD) na Secretaria de Saúde do município.</t>
        </is>
      </c>
      <c r="F23" s="6" t="inlineStr">
        <is>
          <t>araujo-jorge, hc-ufg, 136, dpe</t>
        </is>
      </c>
      <c r="G23" s="3" t="inlineStr"/>
    </row>
    <row r="24">
      <c r="A24" s="6" t="inlineStr">
        <is>
          <t>trafico</t>
        </is>
      </c>
      <c r="B24" s="3" t="inlineStr">
        <is>
          <t>Tráfico de pessoas e trabalho escravo</t>
        </is>
      </c>
      <c r="C24" s="3" t="inlineStr">
        <is>
          <t>trafico de pessoas, trabalho escravo, escravidao, proposta de emprego no exterior, retiveram o passaporte, sem salario, nao deixam sair</t>
        </is>
      </c>
      <c r="D24" s="6" t="inlineStr"/>
      <c r="E24" s="3" t="inlineStr">
        <is>
          <t>Risco agora: 190.
Denunciar pelo Disque 100 (24h, também pelo WhatsApp (61) 99611-0100) ou pelo Ligue 180. As denúncias de trabalho escravo seguem para a fiscalização do Ministério do Trabalho.
Trabalho análogo à escravidão: Ministério Público do Trabalho e Sistema Ipê do Ministério do Trabalho.
Proposta de emprego no exterior boa demais, com passagem paga e documento retido: sinal de alerta.</t>
        </is>
      </c>
      <c r="F24" s="6" t="inlineStr">
        <is>
          <t>100, 180, mpt</t>
        </is>
      </c>
      <c r="G24" s="3" t="inlineStr"/>
    </row>
    <row r="25">
      <c r="A25" s="6" t="inlineStr">
        <is>
          <t>dentista</t>
        </is>
      </c>
      <c r="B25" s="3" t="inlineStr">
        <is>
          <t>Dentista</t>
        </is>
      </c>
      <c r="C25" s="3" t="inlineStr">
        <is>
          <t>dente, dentista, odonto, dentadura, protese dentaria</t>
        </is>
      </c>
      <c r="D25" s="6" t="inlineStr"/>
      <c r="E25" s="3" t="inlineStr">
        <is>
          <t>Primeira consulta na UBS, com a equipe de saúde bucal.
Tratamento especializado (canal, prótese, cirurgia): a UBS encaminha ao Centro de Especialidades Odontológicas (CEO).
Dor forte ou rosto inchado: UPA ou CAIS 24h.</t>
        </is>
      </c>
      <c r="F25" s="6" t="inlineStr"/>
      <c r="G25" s="3" t="inlineStr"/>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T1"/>
  <sheetViews>
    <sheetView showGridLines="1" workbookViewId="0">
      <pane ySplit="1" topLeftCell="A2" activePane="bottomLeft" state="frozen"/>
      <selection pane="bottomLeft"/>
      <selection pane="bottomLeft"/>
      <selection pane="bottomRight" activeCell="A1" sqref="A1"/>
    </sheetView>
  </sheetViews>
  <sheetFormatPr baseColWidth="8" defaultRowHeight="15"/>
  <cols>
    <col width="14" customWidth="1" min="1" max="1"/>
    <col width="12" customWidth="1" min="2" max="2"/>
    <col width="7" customWidth="1" min="3" max="3"/>
    <col width="20" customWidth="1" min="4" max="4"/>
    <col width="14" customWidth="1" min="5" max="5"/>
    <col width="14" customWidth="1" min="6" max="6"/>
    <col width="13" customWidth="1" min="7" max="7"/>
    <col width="10" customWidth="1" min="8" max="8"/>
    <col width="20" customWidth="1" min="9" max="9"/>
    <col width="22" customWidth="1" min="10" max="10"/>
    <col width="14" customWidth="1" min="11" max="11"/>
    <col width="20" customWidth="1" min="12" max="12"/>
    <col width="40" customWidth="1" min="13" max="13"/>
    <col width="50" customWidth="1" min="14" max="14"/>
    <col width="50" customWidth="1" min="15" max="15"/>
    <col width="40" customWidth="1" min="16" max="16"/>
    <col width="30" customWidth="1" min="17" max="17"/>
    <col width="12" customWidth="1" min="18" max="18"/>
    <col width="10" customWidth="1" min="19" max="19"/>
    <col width="22" customWidth="1" min="20" max="20"/>
  </cols>
  <sheetData>
    <row r="1" ht="32" customHeight="1">
      <c r="A1" s="5" t="inlineStr">
        <is>
          <t>ID</t>
        </is>
      </c>
      <c r="B1" s="5" t="inlineStr">
        <is>
          <t>Dia</t>
        </is>
      </c>
      <c r="C1" s="5" t="inlineStr">
        <is>
          <t>Hora</t>
        </is>
      </c>
      <c r="D1" s="5" t="inlineStr">
        <is>
          <t>Município</t>
        </is>
      </c>
      <c r="E1" s="5" t="inlineStr">
        <is>
          <t>Região de Goiânia</t>
        </is>
      </c>
      <c r="F1" s="5" t="inlineStr">
        <is>
          <t>Gênero</t>
        </is>
      </c>
      <c r="G1" s="5" t="inlineStr">
        <is>
          <t>Faixa de idade</t>
        </is>
      </c>
      <c r="H1" s="5" t="inlineStr">
        <is>
          <t>Pessoas na casa</t>
        </is>
      </c>
      <c r="I1" s="5" t="inlineStr">
        <is>
          <t>Renda por pessoa</t>
        </is>
      </c>
      <c r="J1" s="5" t="inlineStr">
        <is>
          <t>Trabalho</t>
        </is>
      </c>
      <c r="K1" s="5" t="inlineStr">
        <is>
          <t>Moradia</t>
        </is>
      </c>
      <c r="L1" s="5" t="inlineStr">
        <is>
          <t>Escolaridade</t>
        </is>
      </c>
      <c r="M1" s="5" t="inlineStr">
        <is>
          <t>Assuntos</t>
        </is>
      </c>
      <c r="N1" s="5" t="inlineStr">
        <is>
          <t>Situações</t>
        </is>
      </c>
      <c r="O1" s="5" t="inlineStr">
        <is>
          <t>Políticas indicadas</t>
        </is>
      </c>
      <c r="P1" s="5" t="inlineStr">
        <is>
          <t>Lugares do roteiro</t>
        </is>
      </c>
      <c r="Q1" s="5" t="inlineStr">
        <is>
          <t>Temas do pedido livre</t>
        </is>
      </c>
      <c r="R1" s="5" t="inlineStr">
        <is>
          <t>Pedido sem orientação</t>
        </is>
      </c>
      <c r="S1" s="5" t="inlineStr">
        <is>
          <t>Urgência</t>
        </is>
      </c>
      <c r="T1" s="5" t="inlineStr">
        <is>
          <t>Respostas que faltaram</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66"/>
  <sheetViews>
    <sheetView showGridLines="1" workbookViewId="0">
      <selection activeCell="A1" sqref="A1"/>
    </sheetView>
  </sheetViews>
  <sheetFormatPr baseColWidth="8" defaultRowHeight="15"/>
  <cols>
    <col width="44" customWidth="1" min="1" max="1"/>
    <col width="14" customWidth="1" min="2" max="2"/>
    <col width="12" customWidth="1" min="3" max="3"/>
  </cols>
  <sheetData>
    <row r="1">
      <c r="A1" s="1" t="inlineStr">
        <is>
          <t>Resumo dos atendimentos registrados</t>
        </is>
      </c>
    </row>
    <row r="2">
      <c r="A2" s="11" t="inlineStr">
        <is>
          <t>Contagens por fórmula sobre a aba Registros. Listas separadas por ponto e vírgula são contadas pelo nome.</t>
        </is>
      </c>
    </row>
    <row r="4">
      <c r="A4" s="12" t="inlineStr">
        <is>
          <t>Indicador</t>
        </is>
      </c>
      <c r="B4" s="12" t="inlineStr">
        <is>
          <t>Valor</t>
        </is>
      </c>
    </row>
    <row r="5">
      <c r="A5" s="11" t="inlineStr">
        <is>
          <t>Atendimentos registrados</t>
        </is>
      </c>
      <c r="B5" s="13">
        <f>COUNTA(Registros!A2:A)</f>
        <v/>
      </c>
    </row>
    <row r="6">
      <c r="A6" s="11" t="inlineStr">
        <is>
          <t>Com urgência</t>
        </is>
      </c>
      <c r="B6" s="13">
        <f>COUNTIF(Registros!S2:S,"Sim")</f>
        <v/>
      </c>
    </row>
    <row r="7">
      <c r="A7" s="11" t="inlineStr">
        <is>
          <t>Com urgência (%)</t>
        </is>
      </c>
      <c r="B7" s="14">
        <f>IF(B5=0,0,B6/B5)</f>
        <v/>
      </c>
    </row>
    <row r="8">
      <c r="A8" s="11" t="inlineStr">
        <is>
          <t>Renda até R$ 218 por pessoa</t>
        </is>
      </c>
      <c r="B8" s="13">
        <f>COUNTIF(Registros!I2:I,"Sem renda")+COUNTIF(Registros!I2:I,"Até R$ 109")+COUNTIF(Registros!I2:I,"De R$ 110 a R$ 218")</f>
        <v/>
      </c>
    </row>
    <row r="9">
      <c r="A9" s="11" t="inlineStr">
        <is>
          <t>Renda até R$ 218 por pessoa (%)</t>
        </is>
      </c>
      <c r="B9" s="14">
        <f>IF(B5=0,0,B8/B5)</f>
        <v/>
      </c>
    </row>
    <row r="10">
      <c r="A10" s="11" t="inlineStr">
        <is>
          <t>Pedidos livres sem orientação pronta</t>
        </is>
      </c>
      <c r="B10" s="13">
        <f>COUNTIF(Registros!R2:R,"Sim")</f>
        <v/>
      </c>
    </row>
    <row r="11">
      <c r="A11" s="11" t="inlineStr">
        <is>
          <t>Serviços que precisam de conferência</t>
        </is>
      </c>
      <c r="B11" s="13">
        <f>COUNTIF('Serviços'!P2:P,"Sim")</f>
        <v/>
      </c>
    </row>
    <row r="13">
      <c r="A13" s="12" t="inlineStr">
        <is>
          <t>Assuntos</t>
        </is>
      </c>
      <c r="B13" s="12" t="inlineStr">
        <is>
          <t>Atendimentos</t>
        </is>
      </c>
      <c r="C13" s="12" t="inlineStr">
        <is>
          <t>% do total</t>
        </is>
      </c>
    </row>
    <row r="14">
      <c r="A14" s="11" t="inlineStr">
        <is>
          <t>Renda e benefícios</t>
        </is>
      </c>
      <c r="B14" s="11">
        <f>COUNTIF(Registros!$M$2:$M,"*"&amp;$A14&amp;"*")</f>
        <v/>
      </c>
      <c r="C14" s="15">
        <f>IF($B$5=0,0,B14/$B$5)</f>
        <v/>
      </c>
    </row>
    <row r="15">
      <c r="A15" s="11" t="inlineStr">
        <is>
          <t>Comida</t>
        </is>
      </c>
      <c r="B15" s="11">
        <f>COUNTIF(Registros!$M$2:$M,"*"&amp;$A15&amp;"*")</f>
        <v/>
      </c>
      <c r="C15" s="15">
        <f>IF($B$5=0,0,B15/$B$5)</f>
        <v/>
      </c>
    </row>
    <row r="16">
      <c r="A16" s="11" t="inlineStr">
        <is>
          <t>Moradia</t>
        </is>
      </c>
      <c r="B16" s="11">
        <f>COUNTIF(Registros!$M$2:$M,"*"&amp;$A16&amp;"*")</f>
        <v/>
      </c>
      <c r="C16" s="15">
        <f>IF($B$5=0,0,B16/$B$5)</f>
        <v/>
      </c>
    </row>
    <row r="17">
      <c r="A17" s="11" t="inlineStr">
        <is>
          <t>Saúde e remédios</t>
        </is>
      </c>
      <c r="B17" s="11">
        <f>COUNTIF(Registros!$M$2:$M,"*"&amp;$A17&amp;"*")</f>
        <v/>
      </c>
      <c r="C17" s="15">
        <f>IF($B$5=0,0,B17/$B$5)</f>
        <v/>
      </c>
    </row>
    <row r="18">
      <c r="A18" s="11" t="inlineStr">
        <is>
          <t>Saúde mental e dependências</t>
        </is>
      </c>
      <c r="B18" s="11">
        <f>COUNTIF(Registros!$M$2:$M,"*"&amp;$A18&amp;"*")</f>
        <v/>
      </c>
      <c r="C18" s="15">
        <f>IF($B$5=0,0,B18/$B$5)</f>
        <v/>
      </c>
    </row>
    <row r="19">
      <c r="A19" s="11" t="inlineStr">
        <is>
          <t>Violência e proteção</t>
        </is>
      </c>
      <c r="B19" s="11">
        <f>COUNTIF(Registros!$M$2:$M,"*"&amp;$A19&amp;"*")</f>
        <v/>
      </c>
      <c r="C19" s="15">
        <f>IF($B$5=0,0,B19/$B$5)</f>
        <v/>
      </c>
    </row>
    <row r="20">
      <c r="A20" s="11" t="inlineStr">
        <is>
          <t>Educação</t>
        </is>
      </c>
      <c r="B20" s="11">
        <f>COUNTIF(Registros!$M$2:$M,"*"&amp;$A20&amp;"*")</f>
        <v/>
      </c>
      <c r="C20" s="15">
        <f>IF($B$5=0,0,B20/$B$5)</f>
        <v/>
      </c>
    </row>
    <row r="21">
      <c r="A21" s="11" t="inlineStr">
        <is>
          <t>Trabalho</t>
        </is>
      </c>
      <c r="B21" s="11">
        <f>COUNTIF(Registros!$M$2:$M,"*"&amp;$A21&amp;"*")</f>
        <v/>
      </c>
      <c r="C21" s="15">
        <f>IF($B$5=0,0,B21/$B$5)</f>
        <v/>
      </c>
    </row>
    <row r="22">
      <c r="A22" s="11" t="inlineStr">
        <is>
          <t>Documentos</t>
        </is>
      </c>
      <c r="B22" s="11">
        <f>COUNTIF(Registros!$M$2:$M,"*"&amp;$A22&amp;"*")</f>
        <v/>
      </c>
      <c r="C22" s="15">
        <f>IF($B$5=0,0,B22/$B$5)</f>
        <v/>
      </c>
    </row>
    <row r="23">
      <c r="A23" s="11" t="inlineStr">
        <is>
          <t>Direito negado</t>
        </is>
      </c>
      <c r="B23" s="11">
        <f>COUNTIF(Registros!$M$2:$M,"*"&amp;$A23&amp;"*")</f>
        <v/>
      </c>
      <c r="C23" s="15">
        <f>IF($B$5=0,0,B23/$B$5)</f>
        <v/>
      </c>
    </row>
    <row r="25">
      <c r="A25" s="12" t="inlineStr">
        <is>
          <t>Renda por pessoa</t>
        </is>
      </c>
      <c r="B25" s="12" t="inlineStr">
        <is>
          <t>Atendimentos</t>
        </is>
      </c>
      <c r="C25" s="12" t="inlineStr">
        <is>
          <t>% do total</t>
        </is>
      </c>
    </row>
    <row r="26">
      <c r="A26" s="11" t="inlineStr">
        <is>
          <t>Sem renda</t>
        </is>
      </c>
      <c r="B26" s="11">
        <f>COUNTIF(Registros!$I$2:$I,$A26)</f>
        <v/>
      </c>
      <c r="C26" s="15">
        <f>IF($B$5=0,0,B26/$B$5)</f>
        <v/>
      </c>
    </row>
    <row r="27">
      <c r="A27" s="11" t="inlineStr">
        <is>
          <t>Até R$ 109</t>
        </is>
      </c>
      <c r="B27" s="11">
        <f>COUNTIF(Registros!$I$2:$I,$A27)</f>
        <v/>
      </c>
      <c r="C27" s="15">
        <f>IF($B$5=0,0,B27/$B$5)</f>
        <v/>
      </c>
    </row>
    <row r="28">
      <c r="A28" s="11" t="inlineStr">
        <is>
          <t>De R$ 110 a R$ 218</t>
        </is>
      </c>
      <c r="B28" s="11">
        <f>COUNTIF(Registros!$I$2:$I,$A28)</f>
        <v/>
      </c>
      <c r="C28" s="15">
        <f>IF($B$5=0,0,B28/$B$5)</f>
        <v/>
      </c>
    </row>
    <row r="29">
      <c r="A29" s="11" t="inlineStr">
        <is>
          <t>Até 1/4 do salário</t>
        </is>
      </c>
      <c r="B29" s="11">
        <f>COUNTIF(Registros!$I$2:$I,$A29)</f>
        <v/>
      </c>
      <c r="C29" s="15">
        <f>IF($B$5=0,0,B29/$B$5)</f>
        <v/>
      </c>
    </row>
    <row r="30">
      <c r="A30" s="11" t="inlineStr">
        <is>
          <t>Até 1/2 salário</t>
        </is>
      </c>
      <c r="B30" s="11">
        <f>COUNTIF(Registros!$I$2:$I,$A30)</f>
        <v/>
      </c>
      <c r="C30" s="15">
        <f>IF($B$5=0,0,B30/$B$5)</f>
        <v/>
      </c>
    </row>
    <row r="31">
      <c r="A31" s="11" t="inlineStr">
        <is>
          <t>Até 1 salário</t>
        </is>
      </c>
      <c r="B31" s="11">
        <f>COUNTIF(Registros!$I$2:$I,$A31)</f>
        <v/>
      </c>
      <c r="C31" s="15">
        <f>IF($B$5=0,0,B31/$B$5)</f>
        <v/>
      </c>
    </row>
    <row r="32">
      <c r="A32" s="11" t="inlineStr">
        <is>
          <t>Até 3 salários</t>
        </is>
      </c>
      <c r="B32" s="11">
        <f>COUNTIF(Registros!$I$2:$I,$A32)</f>
        <v/>
      </c>
      <c r="C32" s="15">
        <f>IF($B$5=0,0,B32/$B$5)</f>
        <v/>
      </c>
    </row>
    <row r="33">
      <c r="A33" s="11" t="inlineStr">
        <is>
          <t>Mais de 3 salários</t>
        </is>
      </c>
      <c r="B33" s="11">
        <f>COUNTIF(Registros!$I$2:$I,$A33)</f>
        <v/>
      </c>
      <c r="C33" s="15">
        <f>IF($B$5=0,0,B33/$B$5)</f>
        <v/>
      </c>
    </row>
    <row r="34">
      <c r="A34" s="11" t="inlineStr">
        <is>
          <t>Não informada</t>
        </is>
      </c>
      <c r="B34" s="11">
        <f>COUNTIF(Registros!$I$2:$I,$A34)</f>
        <v/>
      </c>
      <c r="C34" s="15">
        <f>IF($B$5=0,0,B34/$B$5)</f>
        <v/>
      </c>
    </row>
    <row r="36">
      <c r="A36" s="12" t="inlineStr">
        <is>
          <t>Faixa de idade</t>
        </is>
      </c>
      <c r="B36" s="12" t="inlineStr">
        <is>
          <t>Atendimentos</t>
        </is>
      </c>
      <c r="C36" s="12" t="inlineStr">
        <is>
          <t>% do total</t>
        </is>
      </c>
    </row>
    <row r="37">
      <c r="A37" s="11" t="inlineStr">
        <is>
          <t>Até 13</t>
        </is>
      </c>
      <c r="B37" s="11">
        <f>COUNTIF(Registros!$G$2:$G,$A37)</f>
        <v/>
      </c>
      <c r="C37" s="15">
        <f>IF($B$5=0,0,B37/$B$5)</f>
        <v/>
      </c>
    </row>
    <row r="38">
      <c r="A38" s="11" t="inlineStr">
        <is>
          <t>14 a 15</t>
        </is>
      </c>
      <c r="B38" s="11">
        <f>COUNTIF(Registros!$G$2:$G,$A38)</f>
        <v/>
      </c>
      <c r="C38" s="15">
        <f>IF($B$5=0,0,B38/$B$5)</f>
        <v/>
      </c>
    </row>
    <row r="39">
      <c r="A39" s="11" t="inlineStr">
        <is>
          <t>16 a 17</t>
        </is>
      </c>
      <c r="B39" s="11">
        <f>COUNTIF(Registros!$G$2:$G,$A39)</f>
        <v/>
      </c>
      <c r="C39" s="15">
        <f>IF($B$5=0,0,B39/$B$5)</f>
        <v/>
      </c>
    </row>
    <row r="40">
      <c r="A40" s="11" t="inlineStr">
        <is>
          <t>18 a 29</t>
        </is>
      </c>
      <c r="B40" s="11">
        <f>COUNTIF(Registros!$G$2:$G,$A40)</f>
        <v/>
      </c>
      <c r="C40" s="15">
        <f>IF($B$5=0,0,B40/$B$5)</f>
        <v/>
      </c>
    </row>
    <row r="41">
      <c r="A41" s="11" t="inlineStr">
        <is>
          <t>30 a 59</t>
        </is>
      </c>
      <c r="B41" s="11">
        <f>COUNTIF(Registros!$G$2:$G,$A41)</f>
        <v/>
      </c>
      <c r="C41" s="15">
        <f>IF($B$5=0,0,B41/$B$5)</f>
        <v/>
      </c>
    </row>
    <row r="42">
      <c r="A42" s="11" t="inlineStr">
        <is>
          <t>60 a 64</t>
        </is>
      </c>
      <c r="B42" s="11">
        <f>COUNTIF(Registros!$G$2:$G,$A42)</f>
        <v/>
      </c>
      <c r="C42" s="15">
        <f>IF($B$5=0,0,B42/$B$5)</f>
        <v/>
      </c>
    </row>
    <row r="43">
      <c r="A43" s="11" t="inlineStr">
        <is>
          <t>65 ou mais</t>
        </is>
      </c>
      <c r="B43" s="11">
        <f>COUNTIF(Registros!$G$2:$G,$A43)</f>
        <v/>
      </c>
      <c r="C43" s="15">
        <f>IF($B$5=0,0,B43/$B$5)</f>
        <v/>
      </c>
    </row>
    <row r="44">
      <c r="A44" s="11" t="inlineStr">
        <is>
          <t>Não informada</t>
        </is>
      </c>
      <c r="B44" s="11">
        <f>COUNTIF(Registros!$G$2:$G,$A44)</f>
        <v/>
      </c>
      <c r="C44" s="15">
        <f>IF($B$5=0,0,B44/$B$5)</f>
        <v/>
      </c>
    </row>
    <row r="46">
      <c r="A46" s="12" t="inlineStr">
        <is>
          <t>Município</t>
        </is>
      </c>
      <c r="B46" s="12" t="inlineStr">
        <is>
          <t>Atendimentos</t>
        </is>
      </c>
      <c r="C46" s="12" t="inlineStr">
        <is>
          <t>% do total</t>
        </is>
      </c>
    </row>
    <row r="47">
      <c r="A47" s="11" t="inlineStr">
        <is>
          <t>Goiânia</t>
        </is>
      </c>
      <c r="B47" s="11">
        <f>COUNTIF(Registros!$D$2:$D,$A47)</f>
        <v/>
      </c>
      <c r="C47" s="15">
        <f>IF($B$5=0,0,B47/$B$5)</f>
        <v/>
      </c>
    </row>
    <row r="48">
      <c r="A48" s="11" t="inlineStr">
        <is>
          <t>Aparecida de Goiânia</t>
        </is>
      </c>
      <c r="B48" s="11">
        <f>COUNTIF(Registros!$D$2:$D,$A48)</f>
        <v/>
      </c>
      <c r="C48" s="15">
        <f>IF($B$5=0,0,B48/$B$5)</f>
        <v/>
      </c>
    </row>
    <row r="49">
      <c r="A49" s="11" t="inlineStr">
        <is>
          <t>Senador Canedo</t>
        </is>
      </c>
      <c r="B49" s="11">
        <f>COUNTIF(Registros!$D$2:$D,$A49)</f>
        <v/>
      </c>
      <c r="C49" s="15">
        <f>IF($B$5=0,0,B49/$B$5)</f>
        <v/>
      </c>
    </row>
    <row r="50">
      <c r="A50" s="11" t="inlineStr">
        <is>
          <t>Trindade</t>
        </is>
      </c>
      <c r="B50" s="11">
        <f>COUNTIF(Registros!$D$2:$D,$A50)</f>
        <v/>
      </c>
      <c r="C50" s="15">
        <f>IF($B$5=0,0,B50/$B$5)</f>
        <v/>
      </c>
    </row>
    <row r="51">
      <c r="A51" s="11" t="inlineStr">
        <is>
          <t>Goianira</t>
        </is>
      </c>
      <c r="B51" s="11">
        <f>COUNTIF(Registros!$D$2:$D,$A51)</f>
        <v/>
      </c>
      <c r="C51" s="15">
        <f>IF($B$5=0,0,B51/$B$5)</f>
        <v/>
      </c>
    </row>
    <row r="52">
      <c r="A52" s="11" t="inlineStr">
        <is>
          <t>Abadia de Goiás</t>
        </is>
      </c>
      <c r="B52" s="11">
        <f>COUNTIF(Registros!$D$2:$D,$A52)</f>
        <v/>
      </c>
      <c r="C52" s="15">
        <f>IF($B$5=0,0,B52/$B$5)</f>
        <v/>
      </c>
    </row>
    <row r="53">
      <c r="A53" s="11" t="inlineStr">
        <is>
          <t>Aragoiânia</t>
        </is>
      </c>
      <c r="B53" s="11">
        <f>COUNTIF(Registros!$D$2:$D,$A53)</f>
        <v/>
      </c>
      <c r="C53" s="15">
        <f>IF($B$5=0,0,B53/$B$5)</f>
        <v/>
      </c>
    </row>
    <row r="54">
      <c r="A54" s="11" t="inlineStr">
        <is>
          <t>Bela Vista de Goiás</t>
        </is>
      </c>
      <c r="B54" s="11">
        <f>COUNTIF(Registros!$D$2:$D,$A54)</f>
        <v/>
      </c>
      <c r="C54" s="15">
        <f>IF($B$5=0,0,B54/$B$5)</f>
        <v/>
      </c>
    </row>
    <row r="55">
      <c r="A55" s="11" t="inlineStr">
        <is>
          <t>Bonfinópolis</t>
        </is>
      </c>
      <c r="B55" s="11">
        <f>COUNTIF(Registros!$D$2:$D,$A55)</f>
        <v/>
      </c>
      <c r="C55" s="15">
        <f>IF($B$5=0,0,B55/$B$5)</f>
        <v/>
      </c>
    </row>
    <row r="56">
      <c r="A56" s="11" t="inlineStr">
        <is>
          <t>Brazabrantes</t>
        </is>
      </c>
      <c r="B56" s="11">
        <f>COUNTIF(Registros!$D$2:$D,$A56)</f>
        <v/>
      </c>
      <c r="C56" s="15">
        <f>IF($B$5=0,0,B56/$B$5)</f>
        <v/>
      </c>
    </row>
    <row r="57">
      <c r="A57" s="11" t="inlineStr">
        <is>
          <t>Caldazinha</t>
        </is>
      </c>
      <c r="B57" s="11">
        <f>COUNTIF(Registros!$D$2:$D,$A57)</f>
        <v/>
      </c>
      <c r="C57" s="15">
        <f>IF($B$5=0,0,B57/$B$5)</f>
        <v/>
      </c>
    </row>
    <row r="58">
      <c r="A58" s="11" t="inlineStr">
        <is>
          <t>Caturaí</t>
        </is>
      </c>
      <c r="B58" s="11">
        <f>COUNTIF(Registros!$D$2:$D,$A58)</f>
        <v/>
      </c>
      <c r="C58" s="15">
        <f>IF($B$5=0,0,B58/$B$5)</f>
        <v/>
      </c>
    </row>
    <row r="59">
      <c r="A59" s="11" t="inlineStr">
        <is>
          <t>Goianápolis</t>
        </is>
      </c>
      <c r="B59" s="11">
        <f>COUNTIF(Registros!$D$2:$D,$A59)</f>
        <v/>
      </c>
      <c r="C59" s="15">
        <f>IF($B$5=0,0,B59/$B$5)</f>
        <v/>
      </c>
    </row>
    <row r="60">
      <c r="A60" s="11" t="inlineStr">
        <is>
          <t>Guapó</t>
        </is>
      </c>
      <c r="B60" s="11">
        <f>COUNTIF(Registros!$D$2:$D,$A60)</f>
        <v/>
      </c>
      <c r="C60" s="15">
        <f>IF($B$5=0,0,B60/$B$5)</f>
        <v/>
      </c>
    </row>
    <row r="61">
      <c r="A61" s="11" t="inlineStr">
        <is>
          <t>Hidrolândia</t>
        </is>
      </c>
      <c r="B61" s="11">
        <f>COUNTIF(Registros!$D$2:$D,$A61)</f>
        <v/>
      </c>
      <c r="C61" s="15">
        <f>IF($B$5=0,0,B61/$B$5)</f>
        <v/>
      </c>
    </row>
    <row r="62">
      <c r="A62" s="11" t="inlineStr">
        <is>
          <t>Inhumas</t>
        </is>
      </c>
      <c r="B62" s="11">
        <f>COUNTIF(Registros!$D$2:$D,$A62)</f>
        <v/>
      </c>
      <c r="C62" s="15">
        <f>IF($B$5=0,0,B62/$B$5)</f>
        <v/>
      </c>
    </row>
    <row r="63">
      <c r="A63" s="11" t="inlineStr">
        <is>
          <t>Nerópolis</t>
        </is>
      </c>
      <c r="B63" s="11">
        <f>COUNTIF(Registros!$D$2:$D,$A63)</f>
        <v/>
      </c>
      <c r="C63" s="15">
        <f>IF($B$5=0,0,B63/$B$5)</f>
        <v/>
      </c>
    </row>
    <row r="64">
      <c r="A64" s="11" t="inlineStr">
        <is>
          <t>Nova Veneza</t>
        </is>
      </c>
      <c r="B64" s="11">
        <f>COUNTIF(Registros!$D$2:$D,$A64)</f>
        <v/>
      </c>
      <c r="C64" s="15">
        <f>IF($B$5=0,0,B64/$B$5)</f>
        <v/>
      </c>
    </row>
    <row r="65">
      <c r="A65" s="11" t="inlineStr">
        <is>
          <t>Santo Antônio de Goiás</t>
        </is>
      </c>
      <c r="B65" s="11">
        <f>COUNTIF(Registros!$D$2:$D,$A65)</f>
        <v/>
      </c>
      <c r="C65" s="15">
        <f>IF($B$5=0,0,B65/$B$5)</f>
        <v/>
      </c>
    </row>
    <row r="66">
      <c r="A66" s="11" t="inlineStr">
        <is>
          <t>Terezópolis de Goiás</t>
        </is>
      </c>
      <c r="B66" s="11">
        <f>COUNTIF(Registros!$D$2:$D,$A66)</f>
        <v/>
      </c>
      <c r="C66" s="15">
        <f>IF($B$5=0,0,B66/$B$5)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showGridLines="1" workbookViewId="0">
      <pane ySplit="1" topLeftCell="A2" activePane="bottomLeft" state="frozen"/>
      <selection pane="bottomLeft"/>
      <selection pane="bottomLeft"/>
      <selection pane="bottomRight" activeCell="A1" sqref="A1"/>
    </sheetView>
  </sheetViews>
  <sheetFormatPr baseColWidth="8" defaultRowHeight="15"/>
  <cols>
    <col width="22" customWidth="1" min="1" max="1"/>
    <col width="28" customWidth="1" min="2" max="2"/>
    <col width="30" customWidth="1" min="3" max="3"/>
    <col width="26" customWidth="1" min="4" max="4"/>
    <col width="44" customWidth="1" min="5" max="5"/>
    <col width="16" customWidth="1" min="6" max="6"/>
    <col width="12" customWidth="1" min="7" max="7"/>
    <col width="14" customWidth="1" min="8" max="8"/>
    <col width="8" customWidth="1" min="9" max="9"/>
    <col width="30" customWidth="1" min="10" max="10"/>
    <col width="50" customWidth="1" min="11" max="11"/>
  </cols>
  <sheetData>
    <row r="1" ht="32" customHeight="1">
      <c r="A1" s="5" t="inlineStr">
        <is>
          <t>Escrito em</t>
        </is>
      </c>
      <c r="B1" s="5" t="inlineStr">
        <is>
          <t>Fonte</t>
        </is>
      </c>
      <c r="C1" s="5" t="inlineStr">
        <is>
          <t>Objeto</t>
        </is>
      </c>
      <c r="D1" s="5" t="inlineStr">
        <is>
          <t>Obtido por</t>
        </is>
      </c>
      <c r="E1" s="5" t="inlineStr">
        <is>
          <t>Pedido</t>
        </is>
      </c>
      <c r="F1" s="5" t="inlineStr">
        <is>
          <t>Parâmetros</t>
        </is>
      </c>
      <c r="G1" s="5" t="inlineStr">
        <is>
          <t>Data</t>
        </is>
      </c>
      <c r="H1" s="5" t="inlineStr">
        <is>
          <t>Pedido por</t>
        </is>
      </c>
      <c r="I1" s="5" t="inlineStr">
        <is>
          <t>Linhas</t>
        </is>
      </c>
      <c r="J1" s="5" t="inlineStr">
        <is>
          <t>Mudanças depois de obter</t>
        </is>
      </c>
      <c r="K1" s="5" t="inlineStr">
        <is>
          <t>Observações</t>
        </is>
      </c>
    </row>
    <row r="2">
      <c r="A2" s="6" t="inlineStr">
        <is>
          <t>Serviços!A1:P127</t>
        </is>
      </c>
      <c r="B2" s="3" t="inlineStr">
        <is>
          <t>Encaminha Goiânia, index.html (commit aead8b5)</t>
        </is>
      </c>
      <c r="C2" s="6" t="inlineStr">
        <is>
          <t>lista S (serviços e contatos)</t>
        </is>
      </c>
      <c r="D2" s="6" t="inlineStr">
        <is>
          <t>Exportado por Claude do código do app</t>
        </is>
      </c>
      <c r="E2" s="3" t="inlineStr">
        <is>
          <t>Criar banco de dados independente no Google Planilhas</t>
        </is>
      </c>
      <c r="F2" s="6" t="inlineStr"/>
      <c r="G2" s="6" t="inlineStr">
        <is>
          <t>08/10/2026</t>
        </is>
      </c>
      <c r="H2" s="6" t="inlineStr"/>
      <c r="I2" s="6" t="n">
        <v>126</v>
      </c>
      <c r="J2" s="3" t="inlineStr">
        <is>
          <t>Fonte e data extraídas da observação quando havia</t>
        </is>
      </c>
      <c r="K2" s="3" t="inlineStr">
        <is>
          <t>Contatos vêm do protótipo e do levantamento de 08/10/2026 (docs/levantamento-2026-10-08.md).</t>
        </is>
      </c>
    </row>
    <row r="3">
      <c r="A3" s="6" t="inlineStr">
        <is>
          <t>Políticas!A1:L47</t>
        </is>
      </c>
      <c r="B3" s="3" t="inlineStr">
        <is>
          <t>Encaminha Goiânia, index.html (commit aead8b5)</t>
        </is>
      </c>
      <c r="C3" s="6" t="inlineStr">
        <is>
          <t>lista P (políticas)</t>
        </is>
      </c>
      <c r="D3" s="6" t="inlineStr">
        <is>
          <t>Exportado por Claude do código do app</t>
        </is>
      </c>
      <c r="E3" s="3" t="inlineStr">
        <is>
          <t>Criar banco de dados independente no Google Planilhas</t>
        </is>
      </c>
      <c r="F3" s="6" t="inlineStr"/>
      <c r="G3" s="6" t="inlineStr">
        <is>
          <t>08/10/2026</t>
        </is>
      </c>
      <c r="H3" s="6" t="inlineStr"/>
      <c r="I3" s="6" t="n">
        <v>46</v>
      </c>
      <c r="J3" s="3" t="inlineStr">
        <is>
          <t>Critérios de direito não exportados (ficam no código)</t>
        </is>
      </c>
      <c r="K3" s="3" t="inlineStr"/>
    </row>
    <row r="4">
      <c r="A4" s="6" t="inlineStr">
        <is>
          <t>Temas!A1:G25</t>
        </is>
      </c>
      <c r="B4" s="3" t="inlineStr">
        <is>
          <t>Encaminha Goiânia, index.html (commit aead8b5)</t>
        </is>
      </c>
      <c r="C4" s="6" t="inlineStr">
        <is>
          <t>lista TEMAS (pedido livre)</t>
        </is>
      </c>
      <c r="D4" s="6" t="inlineStr">
        <is>
          <t>Exportado por Claude do código do app</t>
        </is>
      </c>
      <c r="E4" s="3" t="inlineStr">
        <is>
          <t>Criar banco de dados independente no Google Planilhas</t>
        </is>
      </c>
      <c r="F4" s="6" t="inlineStr"/>
      <c r="G4" s="6" t="inlineStr">
        <is>
          <t>08/10/2026</t>
        </is>
      </c>
      <c r="H4" s="6" t="inlineStr"/>
      <c r="I4" s="6" t="n">
        <v>24</v>
      </c>
      <c r="J4" s="3" t="inlineStr">
        <is>
          <t>Marcação HTML retirada da frase de urgência</t>
        </is>
      </c>
      <c r="K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2026-10-08T21:00:31Z</dcterms:created>
  <dcterms:modified xmlns:dcterms="http://purl.org/dc/terms/" xmlns:xsi="http://www.w3.org/2001/XMLSchema-instance" xsi:type="dcterms:W3CDTF">2026-10-08T21:00:31Z</dcterms:modified>
</cp:coreProperties>
</file>